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5"/>
  </sheets>
  <definedNames>
    <definedName hidden="1" localSheetId="0" name="_xlnm._FilterDatabase">Mapping!$A$1:$Y$87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0">
      <text>
        <t xml:space="preserve">Presidente</t>
      </text>
    </comment>
  </commentList>
</comments>
</file>

<file path=xl/sharedStrings.xml><?xml version="1.0" encoding="utf-8"?>
<sst xmlns="http://schemas.openxmlformats.org/spreadsheetml/2006/main" count="1417" uniqueCount="351">
  <si>
    <t>COMUNIDAD</t>
  </si>
  <si>
    <t>ORGANIZACIÓN</t>
  </si>
  <si>
    <t>Ciudad</t>
  </si>
  <si>
    <t>País</t>
  </si>
  <si>
    <t>MIEMBROS</t>
  </si>
  <si>
    <t>ENTIDADES</t>
  </si>
  <si>
    <t>TAMAÑO</t>
  </si>
  <si>
    <t>SEGURIDAD</t>
  </si>
  <si>
    <t>CARE</t>
  </si>
  <si>
    <t>MODA</t>
  </si>
  <si>
    <t>RM</t>
  </si>
  <si>
    <t>R HABTAJA</t>
  </si>
  <si>
    <t>R HADRAJA</t>
  </si>
  <si>
    <t>R KM</t>
  </si>
  <si>
    <t>R SWIMMERS</t>
  </si>
  <si>
    <t>Buenos Aires</t>
  </si>
  <si>
    <t>Argentina</t>
  </si>
  <si>
    <t>Grande</t>
  </si>
  <si>
    <t>Presidente</t>
  </si>
  <si>
    <t>Persona 1 (+1 555 431 3471)</t>
  </si>
  <si>
    <t>Director Ejecutivo</t>
  </si>
  <si>
    <t>Persona 2 (+1 555 504 1791)</t>
  </si>
  <si>
    <t>SI</t>
  </si>
  <si>
    <t>Persona 3 (+1 555 174 9779)</t>
  </si>
  <si>
    <t>Persona 4 (+1 555 196 6991)</t>
  </si>
  <si>
    <t>Persona 5 (+1 555 696 1950)</t>
  </si>
  <si>
    <t>Persona 6 (+1 555 619 4517)</t>
  </si>
  <si>
    <t>Persona 7 (+1 555 138 2408)</t>
  </si>
  <si>
    <t>Persona 8 (+1 555 544 7851)</t>
  </si>
  <si>
    <t>Córdoba</t>
  </si>
  <si>
    <t>Mediana</t>
  </si>
  <si>
    <t>Persona 9 (1 555 171 4943)</t>
  </si>
  <si>
    <t>Kabat Kehila</t>
  </si>
  <si>
    <t>Persona 10 (+1 555 192 7955)</t>
  </si>
  <si>
    <t>Persona 11 (+1 555 160 3028)</t>
  </si>
  <si>
    <t>Persona 12 (+1 555 328 2013)</t>
  </si>
  <si>
    <t>Persona 13 (‪+1 555 690 7499‬)</t>
  </si>
  <si>
    <t>Persona 14 (+1 555 150 4622)</t>
  </si>
  <si>
    <t>Persona 15 (+1 555 147 3181)</t>
  </si>
  <si>
    <t>Persona 16 (+1 555 396 7867)</t>
  </si>
  <si>
    <t>NO</t>
  </si>
  <si>
    <t>-</t>
  </si>
  <si>
    <t>Santa Fe</t>
  </si>
  <si>
    <t>Persona 17</t>
  </si>
  <si>
    <t>Persona 18 (1 555 220 6054)</t>
  </si>
  <si>
    <t>Persona 19 (+1 555 673 3961)</t>
  </si>
  <si>
    <t>Persona 20 (+1 555 205 4078)</t>
  </si>
  <si>
    <t>Persona 21 (+1 555 481 2596)</t>
  </si>
  <si>
    <t>Rosario</t>
  </si>
  <si>
    <t>Persona 22 (+1 555 660 2028)</t>
  </si>
  <si>
    <t>Persona 23 (+1 555 677 1976)</t>
  </si>
  <si>
    <t>Persona 24 (+1 555 733 4374)</t>
  </si>
  <si>
    <t>Persona 25 (+1 555 608 9711)</t>
  </si>
  <si>
    <t>Persona 26 (‪+1 555 537 6146‬)</t>
  </si>
  <si>
    <t>Persona 27 (1 555 576 8424)</t>
  </si>
  <si>
    <t>Persona 28 (+1 555 470 5911)</t>
  </si>
  <si>
    <t>Persona 29 (+1 555 354 3945)</t>
  </si>
  <si>
    <t>Corrientes</t>
  </si>
  <si>
    <t>Pequeña</t>
  </si>
  <si>
    <t>Contacto</t>
  </si>
  <si>
    <t>Persona 30 (+1 555 815 4999)</t>
  </si>
  <si>
    <t>Persona 31 (+1 555 183 5919)</t>
  </si>
  <si>
    <t>Salta</t>
  </si>
  <si>
    <t>Persona 32 (+1 555 637 9111)</t>
  </si>
  <si>
    <t>Paraná</t>
  </si>
  <si>
    <t>Persona 33 (+1 555 996 6627)</t>
  </si>
  <si>
    <t>Persona 34</t>
  </si>
  <si>
    <t>La Plata</t>
  </si>
  <si>
    <t>Persona 35 (+1 555 394 2199)</t>
  </si>
  <si>
    <t>Persona 36 (1 555 220 9387)</t>
  </si>
  <si>
    <t>Persona 37 (+1 555 528 3702)</t>
  </si>
  <si>
    <t>Persona 38 (+1 555 875 6604)</t>
  </si>
  <si>
    <t>Persona 39 (‪+1 555 255 9011‬)</t>
  </si>
  <si>
    <t>Persona 40 (+1 555 531 1642)</t>
  </si>
  <si>
    <t>Persona 41 (+1 555 784 2271)</t>
  </si>
  <si>
    <t>Tucumán</t>
  </si>
  <si>
    <t>Persona 42 (+1 555 882 6140)</t>
  </si>
  <si>
    <t>Persona 43 (+1 555 448 6737)</t>
  </si>
  <si>
    <t>Persona 44 (+1 555 708 9137)</t>
  </si>
  <si>
    <t>Persona 45 (1 555 693 8474)</t>
  </si>
  <si>
    <t>Persona 46 (+1 555 170 2533)</t>
  </si>
  <si>
    <t>Persona 47 (+1 555 376 8767)</t>
  </si>
  <si>
    <t>Mendoza</t>
  </si>
  <si>
    <t>Persona 48 (+1 555 813 2064)</t>
  </si>
  <si>
    <t>Persona 49 (+1 555 162 6072)</t>
  </si>
  <si>
    <t>Persona 50 (+1 555 762 8301)</t>
  </si>
  <si>
    <t>Persona 51</t>
  </si>
  <si>
    <t>Persona 52 (‪+1 555 784 6685‬)</t>
  </si>
  <si>
    <t>Persona 53 (+1 555 123 8564)</t>
  </si>
  <si>
    <t>Persona 54 (1 555 463 3753)</t>
  </si>
  <si>
    <t>Persona 55 (+1 555 725 2918)</t>
  </si>
  <si>
    <t>Persona 56 (+1 555 605 1965)</t>
  </si>
  <si>
    <t>Bahía Blanca</t>
  </si>
  <si>
    <t>Persona 57 (+1 555 323 5709)</t>
  </si>
  <si>
    <t>Tandil</t>
  </si>
  <si>
    <t>Persona 58 (+1 555 232 5056)</t>
  </si>
  <si>
    <t>No aplica</t>
  </si>
  <si>
    <t>Mar del Plata</t>
  </si>
  <si>
    <t>Persona 59 (+1 555 507 7405)</t>
  </si>
  <si>
    <t>Persona 60 (+1 555 992 9134)</t>
  </si>
  <si>
    <t>Misiones</t>
  </si>
  <si>
    <t>Persona 61 (+1 555 182 3725)</t>
  </si>
  <si>
    <t>Persona 62 (+1 555 559 7580)</t>
  </si>
  <si>
    <t>Persona 63 (1 555 662 5552)</t>
  </si>
  <si>
    <t>Persona 64 (+1 555 240 8053)</t>
  </si>
  <si>
    <t>Chaco</t>
  </si>
  <si>
    <t>Persona 65 (‪+1 555 984 5561‬)</t>
  </si>
  <si>
    <t>Persona 66 (+1 555 823 7804)</t>
  </si>
  <si>
    <t>Persona 67 (+1 555 467 7233)</t>
  </si>
  <si>
    <t>Neuquén</t>
  </si>
  <si>
    <t>Persona 68</t>
  </si>
  <si>
    <t>Cipolletti</t>
  </si>
  <si>
    <t>Persona 69 (+1 555 184 3887)</t>
  </si>
  <si>
    <t>Bariloche</t>
  </si>
  <si>
    <t>Persona 70 (+1 555 254 4800)</t>
  </si>
  <si>
    <t>Santiago</t>
  </si>
  <si>
    <t>Chile</t>
  </si>
  <si>
    <t>Persona 71 (+1 555 774 4822)</t>
  </si>
  <si>
    <t>Persona 72 (1 555 112 8945)</t>
  </si>
  <si>
    <t>Persona 73 (+1 555 951 3987)</t>
  </si>
  <si>
    <t>Persona 74 (+1 555 369 5619)</t>
  </si>
  <si>
    <t>Persona 75 (+1 555 104 3386)</t>
  </si>
  <si>
    <t>Persona 76 (+1 555 529 9758)</t>
  </si>
  <si>
    <t>Persona 77 (+1 555 478 6220)</t>
  </si>
  <si>
    <t>Persona 78 (‪+1 555 228 9445‬)</t>
  </si>
  <si>
    <t>Viña</t>
  </si>
  <si>
    <t>Pucon</t>
  </si>
  <si>
    <t>Representante</t>
  </si>
  <si>
    <t>Persona 79 (+1 555 732 1884)</t>
  </si>
  <si>
    <t>Asunción</t>
  </si>
  <si>
    <t>Paraguay</t>
  </si>
  <si>
    <t>Persona 80 (+1 555 567 7428)</t>
  </si>
  <si>
    <t>Persona 81 (1 555 507 7536)</t>
  </si>
  <si>
    <t>Persona 82 (+1 555 503 2696)</t>
  </si>
  <si>
    <t>Persona 83 (+1 555 593 7560)</t>
  </si>
  <si>
    <t>Persona 84 (+1 555 163 4122)</t>
  </si>
  <si>
    <t>Montevideo</t>
  </si>
  <si>
    <t>Uruguay</t>
  </si>
  <si>
    <t>Persona 85</t>
  </si>
  <si>
    <t>Persona 86 (+1 555 551 3659)</t>
  </si>
  <si>
    <t>Persona 87 (+1 555 212 6571)</t>
  </si>
  <si>
    <t>Persona 88 (+1 555 715 1861)</t>
  </si>
  <si>
    <t>Persona 89 (+1 555 204 1003)</t>
  </si>
  <si>
    <t>Persona 90 (1 555 680 3478)</t>
  </si>
  <si>
    <t>Persona 91 (‪+1 555 649 2662‬)</t>
  </si>
  <si>
    <t>Persona 92 (+1 555 472 1417)</t>
  </si>
  <si>
    <t>Paysandú</t>
  </si>
  <si>
    <t>Punta del Este</t>
  </si>
  <si>
    <t>Persona 93 (+1 555 172 4407)</t>
  </si>
  <si>
    <t>TOTAL</t>
  </si>
  <si>
    <t>NORTE</t>
  </si>
  <si>
    <t>Mexico City</t>
  </si>
  <si>
    <t>México</t>
  </si>
  <si>
    <t>Persona 94 (+1 555 728 7164)</t>
  </si>
  <si>
    <t>Persona 95 (+1 555 252 5132)</t>
  </si>
  <si>
    <t>Persona 96 (+1 555 455 6966)</t>
  </si>
  <si>
    <t>Persona 97 (+1 555 585 3012)</t>
  </si>
  <si>
    <t>Persona 98 (+1 555 218 8996)</t>
  </si>
  <si>
    <t>Persona 99 (1 555 577 8870)</t>
  </si>
  <si>
    <t>Persona 100 (+1 555 595 6109)</t>
  </si>
  <si>
    <t>Monterrey</t>
  </si>
  <si>
    <t>Persona 101 (+1 555 187 3361)</t>
  </si>
  <si>
    <t>Persona 102</t>
  </si>
  <si>
    <t>Persona 103 (+1 555 858 5337)</t>
  </si>
  <si>
    <t>Guadalajara</t>
  </si>
  <si>
    <t>Persona 104 (‪+1 555 590 3645‬)</t>
  </si>
  <si>
    <t>Persona 105 (+1 555 628 1378)</t>
  </si>
  <si>
    <t>Cabo San Lucas</t>
  </si>
  <si>
    <t>Persona 106 (+1 555 310 9654)</t>
  </si>
  <si>
    <t>Cancun</t>
  </si>
  <si>
    <t>Persona 107 (+1 555 470 3401)</t>
  </si>
  <si>
    <t>Chiapas</t>
  </si>
  <si>
    <t>Persona 108 (1 555 806 9899)</t>
  </si>
  <si>
    <t>Playa del Carmen</t>
  </si>
  <si>
    <t>Persona 109 (+1 555 127 9652)</t>
  </si>
  <si>
    <t>Cozumel</t>
  </si>
  <si>
    <t>Persona 110 (+1 555 405 2491)</t>
  </si>
  <si>
    <t>Tulum</t>
  </si>
  <si>
    <t>Persona 111 (+1 555 812 5278)</t>
  </si>
  <si>
    <t>San Miguel de Allende</t>
  </si>
  <si>
    <t>Persona 112 (+1 555 630 7008)</t>
  </si>
  <si>
    <t>Isla Mujeres</t>
  </si>
  <si>
    <t>Persona 113 (+1 555 271 6827)</t>
  </si>
  <si>
    <t>La Paz</t>
  </si>
  <si>
    <t>Persona 114 (+1 555 890 4650)</t>
  </si>
  <si>
    <t>Persona 115 (+1 555 645 9873)</t>
  </si>
  <si>
    <t>Puerto Vallarta</t>
  </si>
  <si>
    <t>Persona 116 (+1 555 897 9236)</t>
  </si>
  <si>
    <t>Panama City</t>
  </si>
  <si>
    <t>Panamá</t>
  </si>
  <si>
    <t>Persona 117 (‪1 555 437 4654‬)</t>
  </si>
  <si>
    <t>Persona 118 (+1 555 727 4197)</t>
  </si>
  <si>
    <t>Persona 119</t>
  </si>
  <si>
    <t>Persona 120 (+1 555 937 7564)</t>
  </si>
  <si>
    <t>Persona 121 (+1 555 857 4714)</t>
  </si>
  <si>
    <t>Persona 122 (+1 555 304 9480)</t>
  </si>
  <si>
    <t>Persona 123 (+1 555 604 6825)</t>
  </si>
  <si>
    <t>Playa Venao</t>
  </si>
  <si>
    <t>Persona 124 (+1 555 848 1474)</t>
  </si>
  <si>
    <t>San José</t>
  </si>
  <si>
    <t>Costa Rica</t>
  </si>
  <si>
    <t>Persona 125 (+1 555 128 5577)</t>
  </si>
  <si>
    <t>Persona 126 (1 555 583 5246)</t>
  </si>
  <si>
    <t>Persona 127 (+1 555 298 6640)</t>
  </si>
  <si>
    <t>Persona 128 (+1 555 557 6726)</t>
  </si>
  <si>
    <t>Persona 129 (+1 555 473 2319)</t>
  </si>
  <si>
    <t>Persona 130 (‪+1 555 325 2673‬)</t>
  </si>
  <si>
    <t>Persona 131 (+1 555 332 8701)</t>
  </si>
  <si>
    <t>Bogotá</t>
  </si>
  <si>
    <t>Colombia</t>
  </si>
  <si>
    <t>Persona 132 (+1 555 301 6533)</t>
  </si>
  <si>
    <t>Persona 133 (+1 555 309 8907)</t>
  </si>
  <si>
    <t>Persona 134 (+1 555 739 1031)</t>
  </si>
  <si>
    <t>Persona 135 (1 555 590 6636)</t>
  </si>
  <si>
    <t>Persona 136</t>
  </si>
  <si>
    <t>Persona 137 (+1 555 954 2964)</t>
  </si>
  <si>
    <t>Cali</t>
  </si>
  <si>
    <t>Persona 138 (+1 555 497 4265)</t>
  </si>
  <si>
    <t>Medellín</t>
  </si>
  <si>
    <t>Persona 139 (+1 555 589 3924)</t>
  </si>
  <si>
    <t>Barranquilla</t>
  </si>
  <si>
    <t>Persona 140 (+1 555 544 6447)</t>
  </si>
  <si>
    <t>Salento</t>
  </si>
  <si>
    <t>Persona 141 (+1 555 188 7485)</t>
  </si>
  <si>
    <t>Cartagena</t>
  </si>
  <si>
    <t>Persona 142 (+1 555 574 7576)</t>
  </si>
  <si>
    <t>San Andrés</t>
  </si>
  <si>
    <t>Persona 143 (‪+1 555 861 2391‬)</t>
  </si>
  <si>
    <t>Lima</t>
  </si>
  <si>
    <t>Perú</t>
  </si>
  <si>
    <t>Persona 144 (1 555 842 3602)</t>
  </si>
  <si>
    <t>Persona 145 (+1 555 274 3081)</t>
  </si>
  <si>
    <t>Persona 146 (+1 555 128 3476)</t>
  </si>
  <si>
    <t>Persona 147 (+1 555 704 8624)</t>
  </si>
  <si>
    <t>Persona 148 (+1 555 925 3394)</t>
  </si>
  <si>
    <t>Cusco</t>
  </si>
  <si>
    <t>Pisac</t>
  </si>
  <si>
    <t>Persona 149 (+1 555 726 8771)</t>
  </si>
  <si>
    <t>San Pedro</t>
  </si>
  <si>
    <t>Belice</t>
  </si>
  <si>
    <t>Persona 150 (+1 555 773 6741)</t>
  </si>
  <si>
    <t>Santa Cruz</t>
  </si>
  <si>
    <t>Bolivia</t>
  </si>
  <si>
    <t>Persona 151 (+1 555 259 9989)</t>
  </si>
  <si>
    <t>Persona 152 (+1 555 661 3146)</t>
  </si>
  <si>
    <t>Persona 153</t>
  </si>
  <si>
    <t>Persona 154 (+1 555 918 2683)</t>
  </si>
  <si>
    <t>La Habana</t>
  </si>
  <si>
    <t>Cuba</t>
  </si>
  <si>
    <t>Persona 155 (+1 555 639 3281)</t>
  </si>
  <si>
    <t>Persona 156 (‪+1 555 544 4191‬)</t>
  </si>
  <si>
    <t>Willemstad</t>
  </si>
  <si>
    <t>Curazao</t>
  </si>
  <si>
    <t>Persona 157 (+1 555 945 4457)</t>
  </si>
  <si>
    <t>Santo Domingo</t>
  </si>
  <si>
    <t>Republica Dominicana</t>
  </si>
  <si>
    <t>Persona 158 (+1 555 128 5126)</t>
  </si>
  <si>
    <t>Persona 159 (+1 555 317 5799)</t>
  </si>
  <si>
    <t>San Alfonso</t>
  </si>
  <si>
    <t>El Salvadro</t>
  </si>
  <si>
    <t>Persona 160 (+1 555 613 4940)</t>
  </si>
  <si>
    <t>Quito</t>
  </si>
  <si>
    <t>Ecuador</t>
  </si>
  <si>
    <t>Guayaquil</t>
  </si>
  <si>
    <t>Caracas</t>
  </si>
  <si>
    <t>Venezuela</t>
  </si>
  <si>
    <t>Persona 161 (+1 555 882 6341)</t>
  </si>
  <si>
    <t>Persona 162 (1 555 365 9918)</t>
  </si>
  <si>
    <t>Persona 163 (+1 555 529 3147)</t>
  </si>
  <si>
    <t>Persona 164 (+1 555 162 6796)</t>
  </si>
  <si>
    <t>Persona 165 (+1 555 569 9466)</t>
  </si>
  <si>
    <t>Persona 166 (+1 555 530 9219)</t>
  </si>
  <si>
    <t>San Pedro - Laguna</t>
  </si>
  <si>
    <t>Guatemala</t>
  </si>
  <si>
    <t>Persona 167 (+1 555 233 9713)</t>
  </si>
  <si>
    <t>Antigua Guatemala</t>
  </si>
  <si>
    <t>Persona 168 (+1 555 255 9577)</t>
  </si>
  <si>
    <t>Guatemala City</t>
  </si>
  <si>
    <t>Persona 169 (‪+1 555 622 1306‬)</t>
  </si>
  <si>
    <t>Persona 170</t>
  </si>
  <si>
    <t>BRASIL</t>
  </si>
  <si>
    <t>Brasil</t>
  </si>
  <si>
    <t>Director Comunitario</t>
  </si>
  <si>
    <t>Persona 171 (1 555 895 4000)</t>
  </si>
  <si>
    <t>Persona 172 (+1 555 723 1064)</t>
  </si>
  <si>
    <t>Persona 173 (+1 555 894 3454)</t>
  </si>
  <si>
    <t>Persona 174 (+1 555 276 3319)</t>
  </si>
  <si>
    <t>Persona 175 (+1 555 584 2971)</t>
  </si>
  <si>
    <t>São Paulo</t>
  </si>
  <si>
    <t>Persona 176 (+1 555 669 2011)</t>
  </si>
  <si>
    <t>Persona 177 (+1 555 433 9492)</t>
  </si>
  <si>
    <t>Persona 178 (+1 555 643 8905)</t>
  </si>
  <si>
    <t>Persona 179 (+1 555 903 2738)</t>
  </si>
  <si>
    <t>Persona 180 (1 555 673 1930)</t>
  </si>
  <si>
    <t>Persona 181 (+1 555 354 4134)</t>
  </si>
  <si>
    <t>Porto Alegre</t>
  </si>
  <si>
    <t>Persona 182 (‪+1 555 383 1691‬)</t>
  </si>
  <si>
    <t>Persona 183 (+1 555 890 2601)</t>
  </si>
  <si>
    <t>Persona 184 (+1 555 619 8408)</t>
  </si>
  <si>
    <t>Persona 185 (+1 555 675 1456)</t>
  </si>
  <si>
    <t>Persona 186 (+1 555 878 2038)</t>
  </si>
  <si>
    <t>Persona 187</t>
  </si>
  <si>
    <t>Persona 188 (+1 555 727 9282)</t>
  </si>
  <si>
    <t>Persona 189 (1 555 720 9391)</t>
  </si>
  <si>
    <t>Rio de Janeiro</t>
  </si>
  <si>
    <t>Persona 190 (+1 555 304 5541)</t>
  </si>
  <si>
    <t>Persona 191 (+1 555 563 9325)</t>
  </si>
  <si>
    <t>Persona 192 (+1 555 646 8832)</t>
  </si>
  <si>
    <t>Persona 193 (+1 555 619 5057)</t>
  </si>
  <si>
    <t>Curitiba</t>
  </si>
  <si>
    <t>Persona 194 (+1 555 815 9572)</t>
  </si>
  <si>
    <t>Persona 195 (‪+1 555 997 5253‬)</t>
  </si>
  <si>
    <t>Persona 196 (+1 555 672 4319)</t>
  </si>
  <si>
    <t>Persona 197 (+1 555 960 8332)</t>
  </si>
  <si>
    <t>Persona 198 (1 555 240 7826)</t>
  </si>
  <si>
    <t>Persona 199 (+1 555 224 7428)</t>
  </si>
  <si>
    <t>Persona 200 (+1 555 552 6177)</t>
  </si>
  <si>
    <t>Belo Horizonte</t>
  </si>
  <si>
    <t>Persona 201 (+1 555 174 4942)</t>
  </si>
  <si>
    <t>Persona 202 (+1 555 538 2198)</t>
  </si>
  <si>
    <t>Persona 203 (+1 555 317 5960)</t>
  </si>
  <si>
    <t>Persona 204</t>
  </si>
  <si>
    <t>Persona 205 (+1 555 895 3530)</t>
  </si>
  <si>
    <t>Brasilia</t>
  </si>
  <si>
    <t>Persona 206 (+1 555 833 6999)</t>
  </si>
  <si>
    <t>Fortaleza</t>
  </si>
  <si>
    <t>Persona 207 (1 555 246 5146)</t>
  </si>
  <si>
    <t>Persona 208 (‪+1 555 240 8663‬)</t>
  </si>
  <si>
    <t>Persona 209 (+1 555 324 2542)</t>
  </si>
  <si>
    <t>Recife</t>
  </si>
  <si>
    <t>Persona 210 (+1 555 507 8983)</t>
  </si>
  <si>
    <t>Persona 211 (+1 555 266 4665)</t>
  </si>
  <si>
    <t>Persona 212 (+1 555 265 8070)</t>
  </si>
  <si>
    <t>Florianópolis</t>
  </si>
  <si>
    <t>Persona 213 (+1 555 627 7616)</t>
  </si>
  <si>
    <t>Vitória</t>
  </si>
  <si>
    <t>Persona 214 (+1 555 447 7902)</t>
  </si>
  <si>
    <t>Natal</t>
  </si>
  <si>
    <t>Persona 215 (+1 555 300 6842)</t>
  </si>
  <si>
    <t>Macapá</t>
  </si>
  <si>
    <t>Persona 216 (1 555 426 2510)</t>
  </si>
  <si>
    <t>Porto Velho</t>
  </si>
  <si>
    <t>Manaus</t>
  </si>
  <si>
    <t>Persona 217 (+1 555 839 6995)</t>
  </si>
  <si>
    <t>Persona 218 (+1 555 119 6537)</t>
  </si>
  <si>
    <t>Salvador</t>
  </si>
  <si>
    <t>Persona 219 (+1 555 667 8514)</t>
  </si>
  <si>
    <t>Belém</t>
  </si>
  <si>
    <t>Persona 220 (+1 555 551 1296)</t>
  </si>
  <si>
    <t>Persona 221</t>
  </si>
  <si>
    <t>TOTAL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</si>
</sst>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sz val="9.0"/>
      <color theme="1"/>
      <name val="Arial"/>
    </font>
    <font>
      <sz val="9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4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3" fontId="3" numFmtId="3" xfId="0" applyAlignment="1" applyBorder="1" applyFill="1" applyFont="1" applyNumberFormat="1">
      <alignment horizontal="center" readingOrder="0" vertical="bottom"/>
    </xf>
    <xf borderId="5" fillId="0" fontId="2" numFmtId="0" xfId="0" applyBorder="1" applyFont="1"/>
    <xf borderId="4" fillId="4" fontId="3" numFmtId="0" xfId="0" applyAlignment="1" applyBorder="1" applyFill="1" applyFont="1">
      <alignment horizontal="center" readingOrder="0" vertical="bottom"/>
    </xf>
    <xf borderId="6" fillId="0" fontId="2" numFmtId="0" xfId="0" applyBorder="1" applyFont="1"/>
    <xf borderId="0" fillId="0" fontId="1" numFmtId="0" xfId="0" applyAlignment="1" applyFont="1">
      <alignment horizontal="center" readingOrder="0"/>
    </xf>
    <xf borderId="4" fillId="2" fontId="1" numFmtId="0" xfId="0" applyAlignment="1" applyBorder="1" applyFill="1" applyFont="1">
      <alignment readingOrder="0"/>
    </xf>
    <xf borderId="5" fillId="2" fontId="4" numFmtId="0" xfId="0" applyAlignment="1" applyBorder="1" applyFill="1" applyFont="1">
      <alignment readingOrder="0"/>
    </xf>
    <xf borderId="4" fillId="5" fontId="3" numFmtId="3" xfId="0" applyAlignment="1" applyBorder="1" applyFill="1" applyFont="1" applyNumberFormat="1">
      <alignment horizontal="center" readingOrder="0" vertical="bottom"/>
    </xf>
    <xf borderId="4" fillId="5" fontId="3" numFmtId="0" xfId="0" applyAlignment="1" applyBorder="1" applyFill="1" applyFont="1">
      <alignment horizontal="center" readingOrder="0" vertical="bottom"/>
    </xf>
    <xf borderId="4" fillId="5" fontId="3" numFmtId="0" xfId="0" applyAlignment="1" applyBorder="1" applyFill="1" applyFont="1">
      <alignment horizontal="center" vertical="bottom"/>
    </xf>
    <xf borderId="7" fillId="5" fontId="3" numFmtId="0" xfId="0" applyAlignment="1" applyBorder="1" applyFill="1" applyFont="1">
      <alignment horizontal="center" readingOrder="0" vertical="bottom"/>
    </xf>
    <xf borderId="8" fillId="0" fontId="2" numFmtId="0" xfId="0" applyBorder="1" applyFont="1"/>
    <xf borderId="9" fillId="6" fontId="3" numFmtId="0" xfId="0" applyAlignment="1" applyBorder="1" applyFill="1" applyFont="1">
      <alignment horizontal="center" readingOrder="0" vertical="bottom"/>
    </xf>
    <xf borderId="7" fillId="6" fontId="3" numFmtId="0" xfId="0" applyAlignment="1" applyBorder="1" applyFill="1" applyFont="1">
      <alignment horizontal="center" vertical="bottom"/>
    </xf>
    <xf borderId="10" fillId="5" fontId="1" numFmtId="0" xfId="0" applyAlignment="1" applyBorder="1" applyFill="1" applyFont="1">
      <alignment readingOrder="0"/>
    </xf>
    <xf borderId="11" fillId="5" fontId="1" numFmtId="0" xfId="0" applyAlignment="1" applyBorder="1" applyFill="1" applyFont="1">
      <alignment readingOrder="0"/>
    </xf>
    <xf borderId="12" fillId="5" fontId="1" numFmtId="0" xfId="0" applyAlignment="1" applyBorder="1" applyFill="1" applyFont="1">
      <alignment readingOrder="0"/>
    </xf>
    <xf borderId="13" fillId="0" fontId="1" numFmtId="3" xfId="0" applyAlignment="1" applyBorder="1" applyFont="1" applyNumberFormat="1">
      <alignment horizontal="center" readingOrder="0"/>
    </xf>
    <xf borderId="13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16" fillId="0" fontId="5" numFmtId="0" xfId="0" applyAlignment="1" applyBorder="1" applyFont="1">
      <alignment horizontal="center" vertical="bottom"/>
    </xf>
    <xf borderId="17" fillId="7" fontId="5" numFmtId="0" xfId="0" applyAlignment="1" applyBorder="1" applyFill="1" applyFont="1">
      <alignment horizontal="center" readingOrder="0" vertical="bottom"/>
    </xf>
    <xf borderId="17" fillId="0" fontId="1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 readingOrder="0"/>
    </xf>
    <xf borderId="20" fillId="0" fontId="5" numFmtId="0" xfId="0" applyAlignment="1" applyBorder="1" applyFont="1">
      <alignment readingOrder="0" vertical="bottom"/>
    </xf>
    <xf borderId="21" fillId="0" fontId="1" numFmtId="0" xfId="0" applyAlignment="1" applyBorder="1" applyFont="1">
      <alignment horizontal="center" readingOrder="0"/>
    </xf>
    <xf borderId="22" fillId="0" fontId="2" numFmtId="0" xfId="0" applyBorder="1" applyFont="1"/>
    <xf borderId="23" fillId="5" fontId="1" numFmtId="0" xfId="0" applyAlignment="1" applyBorder="1" applyFill="1" applyFont="1">
      <alignment readingOrder="0"/>
    </xf>
    <xf borderId="24" fillId="5" fontId="1" numFmtId="0" xfId="0" applyAlignment="1" applyBorder="1" applyFill="1" applyFont="1">
      <alignment readingOrder="0"/>
    </xf>
    <xf borderId="14" fillId="0" fontId="1" numFmtId="3" xfId="0" applyAlignment="1" applyBorder="1" applyFont="1" applyNumberFormat="1">
      <alignment horizontal="center" readingOrder="0"/>
    </xf>
    <xf borderId="25" fillId="0" fontId="1" numFmtId="0" xfId="0" applyAlignment="1" applyBorder="1" applyFont="1">
      <alignment horizontal="center" readingOrder="0"/>
    </xf>
    <xf borderId="18" fillId="0" fontId="5" numFmtId="0" xfId="0" applyAlignment="1" applyBorder="1" applyFont="1">
      <alignment readingOrder="0" vertical="bottom"/>
    </xf>
    <xf borderId="16" fillId="0" fontId="5" numFmtId="0" xfId="0" applyAlignment="1" applyBorder="1" applyFont="1">
      <alignment horizontal="center" readingOrder="0" vertical="bottom"/>
    </xf>
    <xf borderId="21" fillId="0" fontId="4" numFmtId="0" xfId="0" applyAlignment="1" applyBorder="1" applyFont="1">
      <alignment horizontal="center" readingOrder="0"/>
    </xf>
    <xf borderId="26" fillId="0" fontId="1" numFmtId="3" xfId="0" applyAlignment="1" applyBorder="1" applyFont="1" applyNumberFormat="1">
      <alignment horizontal="center" readingOrder="0"/>
    </xf>
    <xf borderId="27" fillId="0" fontId="1" numFmtId="0" xfId="0" applyAlignment="1" applyBorder="1" applyFont="1">
      <alignment horizontal="center" readingOrder="0"/>
    </xf>
    <xf borderId="28" fillId="0" fontId="1" numFmtId="0" xfId="0" applyAlignment="1" applyBorder="1" applyFont="1">
      <alignment horizontal="center" readingOrder="0"/>
    </xf>
    <xf borderId="29" fillId="0" fontId="1" numFmtId="0" xfId="0" applyAlignment="1" applyBorder="1" applyFont="1">
      <alignment horizontal="center" readingOrder="0"/>
    </xf>
    <xf borderId="27" fillId="0" fontId="1" numFmtId="3" xfId="0" applyAlignment="1" applyBorder="1" applyFont="1" applyNumberFormat="1">
      <alignment horizontal="center" readingOrder="0"/>
    </xf>
    <xf borderId="30" fillId="0" fontId="1" numFmtId="0" xfId="0" applyAlignment="1" applyBorder="1" applyFont="1">
      <alignment horizontal="center" readingOrder="0"/>
    </xf>
    <xf borderId="12" fillId="0" fontId="2" numFmtId="0" xfId="0" applyBorder="1" applyFont="1"/>
    <xf borderId="31" fillId="0" fontId="1" numFmtId="3" xfId="0" applyAlignment="1" applyBorder="1" applyFont="1" applyNumberFormat="1">
      <alignment horizontal="center" readingOrder="0"/>
    </xf>
    <xf borderId="32" fillId="0" fontId="5" numFmtId="0" xfId="0" applyAlignment="1" applyBorder="1" applyFont="1">
      <alignment horizontal="center" vertical="bottom"/>
    </xf>
    <xf borderId="8" fillId="7" fontId="5" numFmtId="0" xfId="0" applyAlignment="1" applyBorder="1" applyFill="1" applyFont="1">
      <alignment horizontal="center" readingOrder="0" vertical="bottom"/>
    </xf>
    <xf borderId="31" fillId="0" fontId="1" numFmtId="0" xfId="0" applyAlignment="1" applyBorder="1" applyFont="1">
      <alignment horizontal="center" readingOrder="0"/>
    </xf>
    <xf borderId="9" fillId="0" fontId="5" numFmtId="0" xfId="0" applyAlignment="1" applyBorder="1" applyFont="1">
      <alignment readingOrder="0" vertical="bottom"/>
    </xf>
    <xf borderId="33" fillId="0" fontId="1" numFmtId="0" xfId="0" applyAlignment="1" applyBorder="1" applyFont="1">
      <alignment horizontal="center" readingOrder="0"/>
    </xf>
    <xf borderId="4" fillId="5" fontId="4" numFmtId="0" xfId="0" applyAlignment="1" applyBorder="1" applyFill="1" applyFont="1">
      <alignment horizontal="right" readingOrder="0" textRotation="0" vertical="center"/>
    </xf>
    <xf borderId="34" fillId="0" fontId="2" numFmtId="0" xfId="0" applyBorder="1" applyFont="1"/>
    <xf borderId="4" fillId="5" fontId="4" numFmtId="3" xfId="0" applyAlignment="1" applyBorder="1" applyFill="1" applyFont="1" applyNumberFormat="1">
      <alignment horizontal="right"/>
    </xf>
    <xf borderId="4" fillId="5" fontId="4" numFmtId="0" xfId="0" applyAlignment="1" applyBorder="1" applyFill="1" applyFont="1">
      <alignment horizontal="right"/>
    </xf>
    <xf borderId="35" fillId="5" fontId="4" numFmtId="0" xfId="0" applyAlignment="1" applyBorder="1" applyFill="1" applyFont="1">
      <alignment horizontal="right"/>
    </xf>
    <xf borderId="32" fillId="5" fontId="5" numFmtId="0" xfId="0" applyAlignment="1" applyBorder="1" applyFill="1" applyFont="1">
      <alignment vertical="bottom"/>
    </xf>
    <xf borderId="8" fillId="5" fontId="5" numFmtId="0" xfId="0" applyAlignment="1" applyBorder="1" applyFill="1" applyFont="1">
      <alignment vertical="bottom"/>
    </xf>
    <xf borderId="5" fillId="5" fontId="4" numFmtId="0" xfId="0" applyAlignment="1" applyBorder="1" applyFill="1" applyFont="1">
      <alignment horizontal="right"/>
    </xf>
    <xf borderId="36" fillId="5" fontId="4" numFmtId="0" xfId="0" applyAlignment="1" applyBorder="1" applyFill="1" applyFont="1">
      <alignment horizontal="right"/>
    </xf>
    <xf borderId="37" fillId="8" fontId="4" numFmtId="0" xfId="0" applyAlignment="1" applyBorder="1" applyFill="1" applyFont="1">
      <alignment horizontal="center" readingOrder="0" textRotation="255" vertical="center"/>
    </xf>
    <xf borderId="23" fillId="9" fontId="1" numFmtId="0" xfId="0" applyAlignment="1" applyBorder="1" applyFill="1" applyFont="1">
      <alignment readingOrder="0"/>
    </xf>
    <xf borderId="24" fillId="9" fontId="1" numFmtId="0" xfId="0" applyAlignment="1" applyBorder="1" applyFill="1" applyFont="1">
      <alignment readingOrder="0"/>
    </xf>
    <xf borderId="38" fillId="0" fontId="1" numFmtId="0" xfId="0" applyAlignment="1" applyBorder="1" applyFont="1">
      <alignment horizontal="center" readingOrder="0"/>
    </xf>
    <xf borderId="37" fillId="0" fontId="2" numFmtId="0" xfId="0" applyBorder="1" applyFont="1"/>
    <xf borderId="17" fillId="7" fontId="5" numFmtId="0" xfId="0" applyAlignment="1" applyBorder="1" applyFill="1" applyFont="1">
      <alignment horizontal="center" vertical="bottom"/>
    </xf>
    <xf borderId="16" fillId="0" fontId="6" numFmtId="0" xfId="0" applyAlignment="1" applyBorder="1" applyFont="1">
      <alignment horizontal="center" readingOrder="0" vertical="bottom"/>
    </xf>
    <xf borderId="17" fillId="7" fontId="6" numFmtId="0" xfId="0" applyAlignment="1" applyBorder="1" applyFill="1" applyFont="1">
      <alignment horizontal="center" readingOrder="0" vertical="bottom"/>
    </xf>
    <xf borderId="38" fillId="0" fontId="7" numFmtId="0" xfId="0" applyAlignment="1" applyBorder="1" applyFont="1">
      <alignment horizontal="center" readingOrder="0"/>
    </xf>
    <xf borderId="26" fillId="0" fontId="1" numFmtId="0" xfId="0" applyAlignment="1" applyBorder="1" applyFont="1">
      <alignment horizontal="center" readingOrder="0"/>
    </xf>
    <xf borderId="39" fillId="7" fontId="5" numFmtId="0" xfId="0" applyAlignment="1" applyBorder="1" applyFill="1" applyFont="1">
      <alignment horizontal="center" readingOrder="0" vertical="bottom"/>
    </xf>
    <xf borderId="32" fillId="0" fontId="2" numFmtId="0" xfId="0" applyBorder="1" applyFont="1"/>
    <xf borderId="30" fillId="0" fontId="7" numFmtId="0" xfId="0" applyAlignment="1" applyBorder="1" applyFont="1">
      <alignment horizontal="center" readingOrder="0"/>
    </xf>
    <xf borderId="8" fillId="7" fontId="5" numFmtId="0" xfId="0" applyAlignment="1" applyBorder="1" applyFill="1" applyFont="1">
      <alignment horizontal="center" vertical="bottom"/>
    </xf>
    <xf borderId="4" fillId="9" fontId="4" numFmtId="0" xfId="0" applyAlignment="1" applyBorder="1" applyFill="1" applyFont="1">
      <alignment horizontal="right" readingOrder="0" textRotation="0" vertical="center"/>
    </xf>
    <xf borderId="4" fillId="9" fontId="4" numFmtId="3" xfId="0" applyAlignment="1" applyBorder="1" applyFill="1" applyFont="1" applyNumberFormat="1">
      <alignment horizontal="right" readingOrder="0"/>
    </xf>
    <xf borderId="4" fillId="9" fontId="4" numFmtId="0" xfId="0" applyAlignment="1" applyBorder="1" applyFill="1" applyFont="1">
      <alignment horizontal="right"/>
    </xf>
    <xf borderId="6" fillId="9" fontId="4" numFmtId="0" xfId="0" applyAlignment="1" applyBorder="1" applyFill="1" applyFont="1">
      <alignment horizontal="right"/>
    </xf>
    <xf borderId="40" fillId="9" fontId="5" numFmtId="0" xfId="0" applyAlignment="1" applyBorder="1" applyFill="1" applyFont="1">
      <alignment vertical="bottom"/>
    </xf>
    <xf borderId="8" fillId="9" fontId="5" numFmtId="0" xfId="0" applyAlignment="1" applyBorder="1" applyFill="1" applyFont="1">
      <alignment vertical="bottom"/>
    </xf>
    <xf borderId="36" fillId="9" fontId="4" numFmtId="0" xfId="0" applyAlignment="1" applyBorder="1" applyFill="1" applyFont="1">
      <alignment horizontal="right"/>
    </xf>
    <xf borderId="41" fillId="4" fontId="4" numFmtId="0" xfId="0" applyAlignment="1" applyBorder="1" applyFill="1" applyFont="1">
      <alignment horizontal="center" readingOrder="0" textRotation="255" vertical="center"/>
    </xf>
    <xf borderId="42" fillId="6" fontId="1" numFmtId="0" xfId="0" applyAlignment="1" applyBorder="1" applyFill="1" applyFont="1">
      <alignment readingOrder="0"/>
    </xf>
    <xf borderId="43" fillId="6" fontId="1" numFmtId="0" xfId="0" applyAlignment="1" applyBorder="1" applyFill="1" applyFont="1">
      <alignment readingOrder="0"/>
    </xf>
    <xf borderId="11" fillId="6" fontId="1" numFmtId="0" xfId="0" applyAlignment="1" applyBorder="1" applyFill="1" applyFont="1">
      <alignment readingOrder="0"/>
    </xf>
    <xf borderId="23" fillId="6" fontId="1" numFmtId="0" xfId="0" applyAlignment="1" applyBorder="1" applyFill="1" applyFont="1">
      <alignment readingOrder="0"/>
    </xf>
    <xf borderId="24" fillId="6" fontId="1" numFmtId="0" xfId="0" applyAlignment="1" applyBorder="1" applyFill="1" applyFont="1">
      <alignment readingOrder="0"/>
    </xf>
    <xf borderId="44" fillId="6" fontId="1" numFmtId="0" xfId="0" applyAlignment="1" applyBorder="1" applyFill="1" applyFont="1">
      <alignment readingOrder="0"/>
    </xf>
    <xf borderId="45" fillId="6" fontId="1" numFmtId="0" xfId="0" applyAlignment="1" applyBorder="1" applyFill="1" applyFont="1">
      <alignment readingOrder="0"/>
    </xf>
    <xf borderId="26" fillId="6" fontId="4" numFmtId="0" xfId="0" applyAlignment="1" applyBorder="1" applyFill="1" applyFont="1">
      <alignment horizontal="right" readingOrder="0" textRotation="0" vertical="center"/>
    </xf>
    <xf borderId="46" fillId="0" fontId="2" numFmtId="0" xfId="0" applyBorder="1" applyFont="1"/>
    <xf borderId="4" fillId="6" fontId="4" numFmtId="3" xfId="0" applyAlignment="1" applyBorder="1" applyFill="1" applyFont="1" applyNumberFormat="1">
      <alignment horizontal="right"/>
    </xf>
    <xf borderId="4" fillId="6" fontId="4" numFmtId="0" xfId="0" applyAlignment="1" applyBorder="1" applyFill="1" applyFont="1">
      <alignment horizontal="right"/>
    </xf>
    <xf borderId="1" fillId="6" fontId="4" numFmtId="0" xfId="0" applyAlignment="1" applyBorder="1" applyFill="1" applyFont="1">
      <alignment horizontal="right"/>
    </xf>
    <xf borderId="47" fillId="6" fontId="4" numFmtId="0" xfId="0" applyAlignment="1" applyBorder="1" applyFill="1" applyFont="1">
      <alignment horizontal="right"/>
    </xf>
    <xf borderId="2" fillId="6" fontId="4" numFmtId="0" xfId="0" applyAlignment="1" applyBorder="1" applyFill="1" applyFont="1">
      <alignment horizontal="right"/>
    </xf>
    <xf borderId="41" fillId="6" fontId="4" numFmtId="0" xfId="0" applyAlignment="1" applyBorder="1" applyFill="1" applyFont="1">
      <alignment horizontal="right"/>
    </xf>
    <xf borderId="36" fillId="6" fontId="4" numFmtId="0" xfId="0" applyAlignment="1" applyBorder="1" applyFill="1" applyFont="1">
      <alignment horizontal="right"/>
    </xf>
    <xf borderId="4" fillId="10" fontId="4" numFmtId="0" xfId="0" applyAlignment="1" applyBorder="1" applyFill="1" applyFont="1">
      <alignment horizontal="right" readingOrder="0" textRotation="0" vertical="center"/>
    </xf>
    <xf borderId="4" fillId="10" fontId="4" numFmtId="3" xfId="0" applyAlignment="1" applyBorder="1" applyFill="1" applyFont="1" applyNumberFormat="1">
      <alignment horizontal="right"/>
    </xf>
    <xf borderId="4" fillId="10" fontId="4" numFmtId="0" xfId="0" applyAlignment="1" applyBorder="1" applyFill="1" applyFont="1">
      <alignment horizontal="right"/>
    </xf>
    <xf borderId="35" fillId="10" fontId="4" numFmtId="0" xfId="0" applyAlignment="1" applyBorder="1" applyFill="1" applyFont="1">
      <alignment horizontal="right"/>
    </xf>
    <xf borderId="5" fillId="10" fontId="4" numFmtId="0" xfId="0" applyAlignment="1" applyBorder="1" applyFill="1" applyFont="1">
      <alignment horizontal="right"/>
    </xf>
    <xf borderId="36" fillId="10" fontId="4" numFmtId="0" xfId="0" applyAlignment="1" applyBorder="1" applyFill="1" applyFont="1">
      <alignment horizontal="right"/>
    </xf>
    <xf borderId="7" fillId="0" fontId="2" numFmtId="0" xfId="0" applyBorder="1" applyFont="1"/>
    <xf borderId="0" fillId="0" fontId="1" numFmtId="0" xfId="0" applyAlignment="1" applyFont="1">
      <alignment horizontal="center" readingOrder="0" textRotation="255" vertical="center"/>
    </xf>
    <xf borderId="0" fillId="0" fontId="1" numFmtId="3" xfId="0" applyAlignment="1" applyFont="1" applyNumberFormat="1">
      <alignment horizontal="center" readingOrder="0" textRotation="255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Row="1"/>
  <cols>
    <col customWidth="1" min="1" max="1" width="2.75"/>
    <col customWidth="1" min="2" max="2" width="12.5"/>
    <col customWidth="1" min="3" max="3" width="9.13"/>
    <col customWidth="1" min="4" max="4" width="10.13"/>
    <col customWidth="1" min="5" max="5" width="10.63"/>
    <col customWidth="1" min="6" max="6" width="14.25"/>
    <col customWidth="1" min="7" max="7" width="21.13"/>
    <col customWidth="1" min="8" max="8" width="33.13"/>
    <col customWidth="1" min="9" max="9" width="24.75"/>
    <col customWidth="1" min="10" max="10" width="32.13"/>
    <col customWidth="1" min="11" max="11" width="8.5"/>
    <col customWidth="1" min="12" max="12" width="35.38"/>
    <col customWidth="1" min="13" max="13" width="13.13"/>
    <col customWidth="1" min="14" max="14" width="35.63"/>
    <col customWidth="1" min="15" max="15" width="14.13"/>
    <col customWidth="1" min="16" max="16" width="10.75"/>
    <col customWidth="1" min="17" max="17" width="34.13"/>
    <col customWidth="1" min="18" max="18" width="9.13"/>
    <col customWidth="1" min="19" max="19" width="23.75"/>
    <col customWidth="1" min="20" max="20" width="9.13"/>
    <col customWidth="1" min="21" max="21" width="24.0"/>
    <col customWidth="1" min="22" max="22" width="8.5"/>
    <col customWidth="1" min="23" max="23" width="24.0"/>
    <col customWidth="1" min="24" max="24" width="8.75"/>
    <col customWidth="1" min="25" max="25" width="22.63"/>
    <col customWidth="1" min="26" max="26" width="0.38"/>
  </cols>
  <sheetData>
    <row r="1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6" t="s">
        <v>1</v>
      </c>
      <c r="P1" s="5"/>
      <c r="Q1" s="5"/>
      <c r="R1" s="5"/>
      <c r="S1" s="5"/>
      <c r="T1" s="5"/>
      <c r="U1" s="5"/>
      <c r="V1" s="5"/>
      <c r="W1" s="5"/>
      <c r="X1" s="5"/>
      <c r="Y1" s="7"/>
      <c r="Z1" s="8"/>
    </row>
    <row r="2">
      <c r="A2" s="9"/>
      <c r="B2" s="10" t="s">
        <v>2</v>
      </c>
      <c r="C2" s="10" t="s">
        <v>3</v>
      </c>
      <c r="D2" s="11" t="s">
        <v>4</v>
      </c>
      <c r="E2" s="11" t="s">
        <v>5</v>
      </c>
      <c r="F2" s="12" t="s">
        <v>6</v>
      </c>
      <c r="G2" s="12" t="s">
        <v>0</v>
      </c>
      <c r="H2" s="7"/>
      <c r="I2" s="13" t="s">
        <v>7</v>
      </c>
      <c r="J2" s="7"/>
      <c r="K2" s="14" t="s">
        <v>8</v>
      </c>
      <c r="L2" s="15"/>
      <c r="M2" s="14" t="s">
        <v>9</v>
      </c>
      <c r="N2" s="15"/>
      <c r="O2" s="16" t="s">
        <v>1</v>
      </c>
      <c r="P2" s="17" t="s">
        <v>10</v>
      </c>
      <c r="Q2" s="15"/>
      <c r="R2" s="17" t="s">
        <v>11</v>
      </c>
      <c r="S2" s="15"/>
      <c r="T2" s="17" t="s">
        <v>12</v>
      </c>
      <c r="U2" s="15"/>
      <c r="V2" s="17" t="s">
        <v>13</v>
      </c>
      <c r="W2" s="15"/>
      <c r="X2" s="17" t="s">
        <v>14</v>
      </c>
      <c r="Y2" s="15"/>
    </row>
    <row r="3" outlineLevel="1">
      <c r="A3" s="18"/>
      <c r="B3" s="19" t="s">
        <v>15</v>
      </c>
      <c r="C3" s="20" t="s">
        <v>16</v>
      </c>
      <c r="D3" s="21">
        <v>190000.0</v>
      </c>
      <c r="E3" s="21">
        <v>236.0</v>
      </c>
      <c r="F3" s="22" t="s">
        <v>17</v>
      </c>
      <c r="G3" s="23" t="s">
        <v>18</v>
      </c>
      <c r="H3" s="24" t="s">
        <v>19</v>
      </c>
      <c r="I3" s="25" t="s">
        <v>20</v>
      </c>
      <c r="J3" s="26" t="s">
        <v>21</v>
      </c>
      <c r="K3" s="27" t="s">
        <v>22</v>
      </c>
      <c r="L3" s="28" t="s">
        <v>23</v>
      </c>
      <c r="M3" s="28" t="s">
        <v>22</v>
      </c>
      <c r="N3" s="28" t="s">
        <v>24</v>
      </c>
      <c r="O3" s="28" t="s">
        <v>22</v>
      </c>
      <c r="P3" s="28" t="s">
        <v>22</v>
      </c>
      <c r="Q3" s="29" t="s">
        <v>25</v>
      </c>
      <c r="R3" s="30" t="s">
        <v>22</v>
      </c>
      <c r="S3" s="23" t="s">
        <v>26</v>
      </c>
      <c r="T3" s="30" t="s">
        <v>22</v>
      </c>
      <c r="U3" s="31" t="s">
        <v>27</v>
      </c>
      <c r="V3" s="30" t="s">
        <v>22</v>
      </c>
      <c r="W3" s="31" t="s">
        <v>27</v>
      </c>
      <c r="X3" s="30" t="s">
        <v>22</v>
      </c>
      <c r="Y3" s="31" t="s">
        <v>28</v>
      </c>
    </row>
    <row r="4" outlineLevel="1">
      <c r="A4" s="32"/>
      <c r="B4" s="33" t="s">
        <v>29</v>
      </c>
      <c r="C4" s="34" t="s">
        <v>16</v>
      </c>
      <c r="D4" s="35">
        <v>8000.0</v>
      </c>
      <c r="E4" s="35">
        <v>9.0</v>
      </c>
      <c r="F4" s="23" t="s">
        <v>30</v>
      </c>
      <c r="G4" s="23" t="s">
        <v>18</v>
      </c>
      <c r="H4" s="24" t="s">
        <v>31</v>
      </c>
      <c r="I4" s="25" t="s">
        <v>32</v>
      </c>
      <c r="J4" s="26" t="s">
        <v>33</v>
      </c>
      <c r="K4" s="36" t="s">
        <v>22</v>
      </c>
      <c r="L4" s="31" t="s">
        <v>34</v>
      </c>
      <c r="M4" s="28" t="s">
        <v>22</v>
      </c>
      <c r="N4" s="31" t="s">
        <v>35</v>
      </c>
      <c r="O4" s="31" t="s">
        <v>22</v>
      </c>
      <c r="P4" s="31" t="s">
        <v>22</v>
      </c>
      <c r="Q4" s="23" t="s">
        <v>36</v>
      </c>
      <c r="R4" s="37" t="s">
        <v>22</v>
      </c>
      <c r="S4" s="23" t="s">
        <v>37</v>
      </c>
      <c r="T4" s="37" t="s">
        <v>22</v>
      </c>
      <c r="U4" s="31" t="s">
        <v>38</v>
      </c>
      <c r="V4" s="37" t="s">
        <v>22</v>
      </c>
      <c r="W4" s="23" t="s">
        <v>39</v>
      </c>
      <c r="X4" s="37" t="s">
        <v>40</v>
      </c>
      <c r="Y4" s="31" t="s">
        <v>41</v>
      </c>
    </row>
    <row r="5" outlineLevel="1">
      <c r="A5" s="32"/>
      <c r="B5" s="33" t="s">
        <v>42</v>
      </c>
      <c r="C5" s="34" t="s">
        <v>16</v>
      </c>
      <c r="D5" s="35">
        <v>1700.0</v>
      </c>
      <c r="E5" s="35">
        <v>6.0</v>
      </c>
      <c r="F5" s="23" t="s">
        <v>30</v>
      </c>
      <c r="G5" s="23"/>
      <c r="H5" s="24"/>
      <c r="I5" s="38"/>
      <c r="J5" s="26" t="s">
        <v>41</v>
      </c>
      <c r="K5" s="36" t="s">
        <v>22</v>
      </c>
      <c r="L5" s="31" t="s">
        <v>43</v>
      </c>
      <c r="M5" s="28" t="s">
        <v>22</v>
      </c>
      <c r="N5" s="31" t="s">
        <v>44</v>
      </c>
      <c r="O5" s="31" t="s">
        <v>22</v>
      </c>
      <c r="P5" s="31" t="s">
        <v>22</v>
      </c>
      <c r="Q5" s="23" t="s">
        <v>45</v>
      </c>
      <c r="R5" s="37" t="s">
        <v>22</v>
      </c>
      <c r="S5" s="23" t="s">
        <v>46</v>
      </c>
      <c r="T5" s="37" t="s">
        <v>22</v>
      </c>
      <c r="U5" s="31" t="s">
        <v>47</v>
      </c>
      <c r="V5" s="37" t="s">
        <v>40</v>
      </c>
      <c r="W5" s="31" t="s">
        <v>41</v>
      </c>
      <c r="X5" s="37" t="s">
        <v>22</v>
      </c>
      <c r="Y5" s="31" t="s">
        <v>41</v>
      </c>
    </row>
    <row r="6" outlineLevel="1">
      <c r="A6" s="32"/>
      <c r="B6" s="33" t="s">
        <v>48</v>
      </c>
      <c r="C6" s="34" t="s">
        <v>16</v>
      </c>
      <c r="D6" s="35">
        <v>5000.0</v>
      </c>
      <c r="E6" s="21">
        <v>6.0</v>
      </c>
      <c r="F6" s="23" t="s">
        <v>30</v>
      </c>
      <c r="G6" s="23" t="s">
        <v>18</v>
      </c>
      <c r="H6" s="24" t="s">
        <v>49</v>
      </c>
      <c r="I6" s="38" t="s">
        <v>32</v>
      </c>
      <c r="J6" s="26" t="s">
        <v>50</v>
      </c>
      <c r="K6" s="36" t="s">
        <v>22</v>
      </c>
      <c r="L6" s="31" t="s">
        <v>51</v>
      </c>
      <c r="M6" s="28" t="s">
        <v>22</v>
      </c>
      <c r="N6" s="31" t="s">
        <v>52</v>
      </c>
      <c r="O6" s="31" t="s">
        <v>22</v>
      </c>
      <c r="P6" s="31" t="s">
        <v>22</v>
      </c>
      <c r="Q6" s="31" t="s">
        <v>53</v>
      </c>
      <c r="R6" s="37" t="s">
        <v>22</v>
      </c>
      <c r="S6" s="31"/>
      <c r="T6" s="37" t="s">
        <v>22</v>
      </c>
      <c r="U6" s="31" t="s">
        <v>54</v>
      </c>
      <c r="V6" s="37" t="s">
        <v>22</v>
      </c>
      <c r="W6" s="23" t="s">
        <v>55</v>
      </c>
      <c r="X6" s="37" t="s">
        <v>22</v>
      </c>
      <c r="Y6" s="31" t="s">
        <v>56</v>
      </c>
    </row>
    <row r="7" outlineLevel="1">
      <c r="A7" s="32"/>
      <c r="B7" s="33" t="s">
        <v>57</v>
      </c>
      <c r="C7" s="34" t="s">
        <v>16</v>
      </c>
      <c r="D7" s="35">
        <v>400.0</v>
      </c>
      <c r="E7" s="35">
        <v>2.0</v>
      </c>
      <c r="F7" s="23" t="s">
        <v>58</v>
      </c>
      <c r="G7" s="23"/>
      <c r="H7" s="24"/>
      <c r="I7" s="25" t="s">
        <v>59</v>
      </c>
      <c r="J7" s="26" t="s">
        <v>60</v>
      </c>
      <c r="K7" s="36" t="s">
        <v>22</v>
      </c>
      <c r="L7" s="31" t="s">
        <v>61</v>
      </c>
      <c r="M7" s="31" t="s">
        <v>40</v>
      </c>
      <c r="N7" s="31" t="s">
        <v>41</v>
      </c>
      <c r="O7" s="31" t="s">
        <v>40</v>
      </c>
      <c r="P7" s="31" t="s">
        <v>40</v>
      </c>
      <c r="Q7" s="23" t="s">
        <v>41</v>
      </c>
      <c r="R7" s="37" t="s">
        <v>40</v>
      </c>
      <c r="S7" s="23" t="s">
        <v>41</v>
      </c>
      <c r="T7" s="37" t="s">
        <v>40</v>
      </c>
      <c r="U7" s="23" t="s">
        <v>41</v>
      </c>
      <c r="V7" s="37" t="s">
        <v>40</v>
      </c>
      <c r="W7" s="23" t="s">
        <v>41</v>
      </c>
      <c r="X7" s="37" t="s">
        <v>40</v>
      </c>
      <c r="Y7" s="31" t="s">
        <v>41</v>
      </c>
    </row>
    <row r="8" outlineLevel="1">
      <c r="A8" s="32"/>
      <c r="B8" s="33" t="s">
        <v>62</v>
      </c>
      <c r="C8" s="34" t="s">
        <v>16</v>
      </c>
      <c r="D8" s="35">
        <v>400.0</v>
      </c>
      <c r="E8" s="35">
        <v>2.0</v>
      </c>
      <c r="F8" s="23" t="s">
        <v>58</v>
      </c>
      <c r="G8" s="23"/>
      <c r="H8" s="24"/>
      <c r="I8" s="25" t="s">
        <v>59</v>
      </c>
      <c r="J8" s="26" t="s">
        <v>63</v>
      </c>
      <c r="K8" s="36" t="s">
        <v>40</v>
      </c>
      <c r="L8" s="31" t="s">
        <v>41</v>
      </c>
      <c r="M8" s="31" t="s">
        <v>40</v>
      </c>
      <c r="N8" s="31"/>
      <c r="O8" s="31" t="s">
        <v>40</v>
      </c>
      <c r="P8" s="31" t="s">
        <v>40</v>
      </c>
      <c r="Q8" s="23" t="s">
        <v>41</v>
      </c>
      <c r="R8" s="37" t="s">
        <v>40</v>
      </c>
      <c r="S8" s="23" t="s">
        <v>41</v>
      </c>
      <c r="T8" s="37" t="s">
        <v>40</v>
      </c>
      <c r="U8" s="23" t="s">
        <v>41</v>
      </c>
      <c r="V8" s="37" t="s">
        <v>40</v>
      </c>
      <c r="W8" s="23" t="s">
        <v>41</v>
      </c>
      <c r="X8" s="37" t="s">
        <v>40</v>
      </c>
      <c r="Y8" s="31" t="s">
        <v>41</v>
      </c>
    </row>
    <row r="9" outlineLevel="1">
      <c r="A9" s="32"/>
      <c r="B9" s="33" t="s">
        <v>64</v>
      </c>
      <c r="C9" s="34" t="s">
        <v>16</v>
      </c>
      <c r="D9" s="35">
        <v>1000.0</v>
      </c>
      <c r="E9" s="35">
        <v>4.0</v>
      </c>
      <c r="F9" s="23" t="s">
        <v>58</v>
      </c>
      <c r="G9" s="23" t="s">
        <v>18</v>
      </c>
      <c r="H9" s="24" t="s">
        <v>65</v>
      </c>
      <c r="I9" s="38" t="s">
        <v>32</v>
      </c>
      <c r="J9" s="26" t="s">
        <v>41</v>
      </c>
      <c r="K9" s="36" t="s">
        <v>22</v>
      </c>
      <c r="L9" s="31" t="s">
        <v>66</v>
      </c>
      <c r="M9" s="28" t="s">
        <v>40</v>
      </c>
      <c r="N9" s="31" t="s">
        <v>44</v>
      </c>
      <c r="O9" s="31" t="s">
        <v>40</v>
      </c>
      <c r="P9" s="31" t="s">
        <v>40</v>
      </c>
      <c r="Q9" s="23" t="s">
        <v>41</v>
      </c>
      <c r="R9" s="37" t="s">
        <v>40</v>
      </c>
      <c r="S9" s="23" t="s">
        <v>41</v>
      </c>
      <c r="T9" s="37" t="s">
        <v>40</v>
      </c>
      <c r="U9" s="23" t="s">
        <v>41</v>
      </c>
      <c r="V9" s="37" t="s">
        <v>40</v>
      </c>
      <c r="W9" s="23" t="s">
        <v>41</v>
      </c>
      <c r="X9" s="37" t="s">
        <v>40</v>
      </c>
      <c r="Y9" s="31" t="s">
        <v>41</v>
      </c>
    </row>
    <row r="10" outlineLevel="1">
      <c r="A10" s="32"/>
      <c r="B10" s="33" t="s">
        <v>67</v>
      </c>
      <c r="C10" s="34" t="s">
        <v>16</v>
      </c>
      <c r="D10" s="35">
        <v>850.0</v>
      </c>
      <c r="E10" s="35">
        <v>6.0</v>
      </c>
      <c r="F10" s="23" t="s">
        <v>58</v>
      </c>
      <c r="G10" s="23" t="s">
        <v>18</v>
      </c>
      <c r="H10" s="24" t="s">
        <v>68</v>
      </c>
      <c r="I10" s="25" t="s">
        <v>32</v>
      </c>
      <c r="J10" s="26" t="s">
        <v>69</v>
      </c>
      <c r="K10" s="36" t="s">
        <v>22</v>
      </c>
      <c r="L10" s="31" t="s">
        <v>70</v>
      </c>
      <c r="M10" s="31" t="s">
        <v>22</v>
      </c>
      <c r="N10" s="31" t="s">
        <v>71</v>
      </c>
      <c r="O10" s="31" t="s">
        <v>22</v>
      </c>
      <c r="P10" s="31" t="s">
        <v>22</v>
      </c>
      <c r="Q10" s="31" t="s">
        <v>72</v>
      </c>
      <c r="R10" s="37" t="s">
        <v>40</v>
      </c>
      <c r="S10" s="23" t="s">
        <v>41</v>
      </c>
      <c r="T10" s="37" t="s">
        <v>22</v>
      </c>
      <c r="U10" s="31" t="s">
        <v>73</v>
      </c>
      <c r="V10" s="37" t="s">
        <v>22</v>
      </c>
      <c r="W10" s="23" t="s">
        <v>74</v>
      </c>
      <c r="X10" s="37" t="s">
        <v>40</v>
      </c>
      <c r="Y10" s="31" t="s">
        <v>41</v>
      </c>
    </row>
    <row r="11" outlineLevel="1">
      <c r="A11" s="32"/>
      <c r="B11" s="33" t="s">
        <v>75</v>
      </c>
      <c r="C11" s="34" t="s">
        <v>16</v>
      </c>
      <c r="D11" s="35">
        <v>3000.0</v>
      </c>
      <c r="E11" s="35">
        <v>8.0</v>
      </c>
      <c r="F11" s="23" t="s">
        <v>30</v>
      </c>
      <c r="G11" s="23"/>
      <c r="H11" s="24"/>
      <c r="I11" s="25" t="s">
        <v>32</v>
      </c>
      <c r="J11" s="26" t="s">
        <v>76</v>
      </c>
      <c r="K11" s="36" t="s">
        <v>22</v>
      </c>
      <c r="L11" s="31" t="s">
        <v>77</v>
      </c>
      <c r="M11" s="31" t="s">
        <v>22</v>
      </c>
      <c r="N11" s="31" t="s">
        <v>78</v>
      </c>
      <c r="O11" s="31" t="s">
        <v>22</v>
      </c>
      <c r="P11" s="31" t="s">
        <v>22</v>
      </c>
      <c r="Q11" s="31" t="s">
        <v>79</v>
      </c>
      <c r="R11" s="37" t="s">
        <v>22</v>
      </c>
      <c r="S11" s="31" t="s">
        <v>80</v>
      </c>
      <c r="T11" s="37" t="s">
        <v>22</v>
      </c>
      <c r="U11" s="31" t="s">
        <v>81</v>
      </c>
      <c r="V11" s="37" t="s">
        <v>22</v>
      </c>
      <c r="W11" s="23" t="s">
        <v>76</v>
      </c>
      <c r="X11" s="37" t="s">
        <v>40</v>
      </c>
      <c r="Y11" s="31" t="s">
        <v>41</v>
      </c>
    </row>
    <row r="12" outlineLevel="1">
      <c r="A12" s="32"/>
      <c r="B12" s="33" t="s">
        <v>82</v>
      </c>
      <c r="C12" s="34" t="s">
        <v>16</v>
      </c>
      <c r="D12" s="21">
        <v>3000.0</v>
      </c>
      <c r="E12" s="21">
        <v>4.0</v>
      </c>
      <c r="F12" s="23" t="s">
        <v>30</v>
      </c>
      <c r="G12" s="23" t="s">
        <v>18</v>
      </c>
      <c r="H12" s="24" t="s">
        <v>83</v>
      </c>
      <c r="I12" s="38" t="s">
        <v>32</v>
      </c>
      <c r="J12" s="26" t="s">
        <v>84</v>
      </c>
      <c r="K12" s="36" t="s">
        <v>22</v>
      </c>
      <c r="L12" s="31" t="s">
        <v>85</v>
      </c>
      <c r="M12" s="31" t="s">
        <v>22</v>
      </c>
      <c r="N12" s="31" t="s">
        <v>86</v>
      </c>
      <c r="O12" s="31" t="s">
        <v>22</v>
      </c>
      <c r="P12" s="39" t="s">
        <v>22</v>
      </c>
      <c r="Q12" s="23" t="s">
        <v>87</v>
      </c>
      <c r="R12" s="37" t="s">
        <v>22</v>
      </c>
      <c r="S12" s="23" t="s">
        <v>88</v>
      </c>
      <c r="T12" s="37" t="s">
        <v>22</v>
      </c>
      <c r="U12" s="31" t="s">
        <v>89</v>
      </c>
      <c r="V12" s="37" t="s">
        <v>22</v>
      </c>
      <c r="W12" s="23" t="s">
        <v>90</v>
      </c>
      <c r="X12" s="37" t="s">
        <v>22</v>
      </c>
      <c r="Y12" s="31" t="s">
        <v>91</v>
      </c>
    </row>
    <row r="13" outlineLevel="1">
      <c r="A13" s="32"/>
      <c r="B13" s="33" t="s">
        <v>92</v>
      </c>
      <c r="C13" s="34" t="s">
        <v>16</v>
      </c>
      <c r="D13" s="35">
        <v>500.0</v>
      </c>
      <c r="E13" s="35">
        <v>3.0</v>
      </c>
      <c r="F13" s="23" t="s">
        <v>58</v>
      </c>
      <c r="G13" s="23"/>
      <c r="H13" s="24"/>
      <c r="I13" s="25" t="s">
        <v>59</v>
      </c>
      <c r="J13" s="26" t="s">
        <v>93</v>
      </c>
      <c r="K13" s="36" t="s">
        <v>40</v>
      </c>
      <c r="L13" s="31" t="s">
        <v>41</v>
      </c>
      <c r="M13" s="31" t="s">
        <v>40</v>
      </c>
      <c r="N13" s="31" t="s">
        <v>41</v>
      </c>
      <c r="O13" s="31" t="s">
        <v>22</v>
      </c>
      <c r="P13" s="31" t="s">
        <v>22</v>
      </c>
      <c r="Q13" s="23" t="s">
        <v>41</v>
      </c>
      <c r="R13" s="37" t="s">
        <v>40</v>
      </c>
      <c r="S13" s="23" t="s">
        <v>41</v>
      </c>
      <c r="T13" s="37" t="s">
        <v>40</v>
      </c>
      <c r="U13" s="23" t="s">
        <v>41</v>
      </c>
      <c r="V13" s="37" t="s">
        <v>40</v>
      </c>
      <c r="W13" s="23" t="s">
        <v>41</v>
      </c>
      <c r="X13" s="37" t="s">
        <v>40</v>
      </c>
      <c r="Y13" s="31" t="s">
        <v>41</v>
      </c>
    </row>
    <row r="14" outlineLevel="1">
      <c r="A14" s="32"/>
      <c r="B14" s="33" t="s">
        <v>94</v>
      </c>
      <c r="C14" s="34" t="s">
        <v>16</v>
      </c>
      <c r="D14" s="21">
        <v>50.0</v>
      </c>
      <c r="E14" s="21">
        <v>1.0</v>
      </c>
      <c r="F14" s="23" t="s">
        <v>58</v>
      </c>
      <c r="G14" s="23" t="s">
        <v>18</v>
      </c>
      <c r="H14" s="24" t="s">
        <v>95</v>
      </c>
      <c r="I14" s="38" t="s">
        <v>96</v>
      </c>
      <c r="J14" s="26" t="s">
        <v>41</v>
      </c>
      <c r="K14" s="36" t="s">
        <v>40</v>
      </c>
      <c r="L14" s="31" t="s">
        <v>41</v>
      </c>
      <c r="M14" s="36" t="s">
        <v>40</v>
      </c>
      <c r="N14" s="31" t="s">
        <v>41</v>
      </c>
      <c r="O14" s="31" t="s">
        <v>40</v>
      </c>
      <c r="P14" s="31" t="s">
        <v>40</v>
      </c>
      <c r="Q14" s="23" t="s">
        <v>41</v>
      </c>
      <c r="R14" s="28" t="s">
        <v>40</v>
      </c>
      <c r="S14" s="23" t="s">
        <v>41</v>
      </c>
      <c r="T14" s="37" t="s">
        <v>40</v>
      </c>
      <c r="U14" s="23" t="s">
        <v>41</v>
      </c>
      <c r="V14" s="37" t="s">
        <v>40</v>
      </c>
      <c r="W14" s="23" t="s">
        <v>41</v>
      </c>
      <c r="X14" s="37" t="s">
        <v>40</v>
      </c>
      <c r="Y14" s="23" t="s">
        <v>41</v>
      </c>
    </row>
    <row r="15" outlineLevel="1">
      <c r="A15" s="32"/>
      <c r="B15" s="33" t="s">
        <v>97</v>
      </c>
      <c r="C15" s="34" t="s">
        <v>16</v>
      </c>
      <c r="D15" s="21">
        <v>400.0</v>
      </c>
      <c r="E15" s="21">
        <v>2.0</v>
      </c>
      <c r="F15" s="23" t="s">
        <v>58</v>
      </c>
      <c r="G15" s="23" t="s">
        <v>18</v>
      </c>
      <c r="H15" s="24" t="s">
        <v>98</v>
      </c>
      <c r="I15" s="25" t="s">
        <v>59</v>
      </c>
      <c r="J15" s="26" t="s">
        <v>99</v>
      </c>
      <c r="K15" s="36" t="s">
        <v>22</v>
      </c>
      <c r="L15" s="26" t="s">
        <v>99</v>
      </c>
      <c r="M15" s="36" t="s">
        <v>40</v>
      </c>
      <c r="N15" s="31" t="s">
        <v>41</v>
      </c>
      <c r="O15" s="31" t="s">
        <v>40</v>
      </c>
      <c r="P15" s="31" t="s">
        <v>40</v>
      </c>
      <c r="Q15" s="23" t="s">
        <v>41</v>
      </c>
      <c r="R15" s="28" t="s">
        <v>40</v>
      </c>
      <c r="S15" s="23" t="s">
        <v>41</v>
      </c>
      <c r="T15" s="37" t="s">
        <v>40</v>
      </c>
      <c r="U15" s="23" t="s">
        <v>41</v>
      </c>
      <c r="V15" s="37" t="s">
        <v>40</v>
      </c>
      <c r="W15" s="23" t="s">
        <v>41</v>
      </c>
      <c r="X15" s="37" t="s">
        <v>40</v>
      </c>
      <c r="Y15" s="23" t="s">
        <v>41</v>
      </c>
    </row>
    <row r="16" outlineLevel="1">
      <c r="A16" s="32"/>
      <c r="B16" s="33" t="s">
        <v>100</v>
      </c>
      <c r="C16" s="34" t="s">
        <v>16</v>
      </c>
      <c r="D16" s="21">
        <v>800.0</v>
      </c>
      <c r="E16" s="21">
        <v>1.0</v>
      </c>
      <c r="F16" s="23" t="s">
        <v>58</v>
      </c>
      <c r="G16" s="23" t="s">
        <v>18</v>
      </c>
      <c r="H16" s="24" t="s">
        <v>101</v>
      </c>
      <c r="I16" s="25" t="s">
        <v>59</v>
      </c>
      <c r="J16" s="26" t="s">
        <v>102</v>
      </c>
      <c r="K16" s="36" t="s">
        <v>22</v>
      </c>
      <c r="L16" s="31" t="s">
        <v>103</v>
      </c>
      <c r="M16" s="36" t="s">
        <v>22</v>
      </c>
      <c r="N16" s="31" t="s">
        <v>104</v>
      </c>
      <c r="O16" s="31" t="s">
        <v>40</v>
      </c>
      <c r="P16" s="31" t="s">
        <v>40</v>
      </c>
      <c r="Q16" s="23" t="s">
        <v>41</v>
      </c>
      <c r="R16" s="31" t="s">
        <v>40</v>
      </c>
      <c r="S16" s="23" t="s">
        <v>41</v>
      </c>
      <c r="T16" s="31" t="s">
        <v>40</v>
      </c>
      <c r="U16" s="23" t="s">
        <v>41</v>
      </c>
      <c r="V16" s="31" t="s">
        <v>40</v>
      </c>
      <c r="W16" s="23" t="s">
        <v>41</v>
      </c>
      <c r="X16" s="37" t="s">
        <v>40</v>
      </c>
      <c r="Y16" s="31" t="s">
        <v>41</v>
      </c>
    </row>
    <row r="17" outlineLevel="1">
      <c r="A17" s="32"/>
      <c r="B17" s="33" t="s">
        <v>105</v>
      </c>
      <c r="C17" s="34" t="s">
        <v>16</v>
      </c>
      <c r="D17" s="21">
        <v>550.0</v>
      </c>
      <c r="E17" s="21">
        <v>3.0</v>
      </c>
      <c r="F17" s="23" t="s">
        <v>58</v>
      </c>
      <c r="G17" s="23" t="s">
        <v>18</v>
      </c>
      <c r="H17" s="24" t="s">
        <v>106</v>
      </c>
      <c r="I17" s="25" t="s">
        <v>59</v>
      </c>
      <c r="J17" s="26" t="s">
        <v>107</v>
      </c>
      <c r="K17" s="36" t="s">
        <v>22</v>
      </c>
      <c r="L17" s="31" t="s">
        <v>108</v>
      </c>
      <c r="M17" s="36" t="s">
        <v>40</v>
      </c>
      <c r="N17" s="31" t="s">
        <v>41</v>
      </c>
      <c r="O17" s="31" t="s">
        <v>22</v>
      </c>
      <c r="P17" s="31" t="s">
        <v>22</v>
      </c>
      <c r="Q17" s="26" t="s">
        <v>107</v>
      </c>
      <c r="R17" s="37" t="s">
        <v>40</v>
      </c>
      <c r="S17" s="23" t="s">
        <v>41</v>
      </c>
      <c r="T17" s="37" t="s">
        <v>40</v>
      </c>
      <c r="U17" s="23" t="s">
        <v>41</v>
      </c>
      <c r="V17" s="37" t="s">
        <v>40</v>
      </c>
      <c r="W17" s="23" t="s">
        <v>41</v>
      </c>
      <c r="X17" s="37" t="s">
        <v>40</v>
      </c>
      <c r="Y17" s="31" t="s">
        <v>41</v>
      </c>
    </row>
    <row r="18" outlineLevel="1">
      <c r="A18" s="32"/>
      <c r="B18" s="33" t="s">
        <v>109</v>
      </c>
      <c r="C18" s="34" t="s">
        <v>16</v>
      </c>
      <c r="D18" s="21"/>
      <c r="E18" s="21"/>
      <c r="F18" s="23" t="s">
        <v>58</v>
      </c>
      <c r="G18" s="23"/>
      <c r="H18" s="24"/>
      <c r="I18" s="25"/>
      <c r="J18" s="26"/>
      <c r="K18" s="36" t="s">
        <v>22</v>
      </c>
      <c r="L18" s="31" t="s">
        <v>110</v>
      </c>
      <c r="M18" s="36"/>
      <c r="N18" s="31"/>
      <c r="O18" s="31"/>
      <c r="P18" s="31"/>
      <c r="Q18" s="29"/>
      <c r="R18" s="37"/>
      <c r="S18" s="23"/>
      <c r="T18" s="37"/>
      <c r="U18" s="23"/>
      <c r="V18" s="37"/>
      <c r="W18" s="23"/>
      <c r="X18" s="37"/>
      <c r="Y18" s="31"/>
    </row>
    <row r="19" outlineLevel="1">
      <c r="A19" s="32"/>
      <c r="B19" s="33" t="s">
        <v>111</v>
      </c>
      <c r="C19" s="34" t="s">
        <v>16</v>
      </c>
      <c r="D19" s="21"/>
      <c r="E19" s="21"/>
      <c r="F19" s="23" t="s">
        <v>58</v>
      </c>
      <c r="G19" s="23"/>
      <c r="H19" s="24"/>
      <c r="I19" s="25"/>
      <c r="J19" s="26"/>
      <c r="K19" s="36" t="s">
        <v>22</v>
      </c>
      <c r="L19" s="31" t="s">
        <v>112</v>
      </c>
      <c r="M19" s="36"/>
      <c r="N19" s="31"/>
      <c r="O19" s="31"/>
      <c r="P19" s="31"/>
      <c r="Q19" s="29"/>
      <c r="R19" s="37"/>
      <c r="S19" s="23"/>
      <c r="T19" s="37"/>
      <c r="U19" s="23"/>
      <c r="V19" s="37"/>
      <c r="W19" s="23"/>
      <c r="X19" s="37"/>
      <c r="Y19" s="31"/>
    </row>
    <row r="20" outlineLevel="1">
      <c r="A20" s="32"/>
      <c r="B20" s="33" t="s">
        <v>113</v>
      </c>
      <c r="C20" s="34" t="s">
        <v>16</v>
      </c>
      <c r="D20" s="21">
        <v>100.0</v>
      </c>
      <c r="E20" s="21">
        <v>1.0</v>
      </c>
      <c r="F20" s="23" t="s">
        <v>58</v>
      </c>
      <c r="G20" s="23"/>
      <c r="H20" s="24" t="s">
        <v>41</v>
      </c>
      <c r="I20" s="25" t="s">
        <v>59</v>
      </c>
      <c r="J20" s="26" t="s">
        <v>114</v>
      </c>
      <c r="K20" s="36" t="s">
        <v>40</v>
      </c>
      <c r="L20" s="31" t="s">
        <v>41</v>
      </c>
      <c r="M20" s="36" t="s">
        <v>40</v>
      </c>
      <c r="N20" s="31" t="s">
        <v>41</v>
      </c>
      <c r="O20" s="31" t="s">
        <v>22</v>
      </c>
      <c r="P20" s="31" t="s">
        <v>40</v>
      </c>
      <c r="Q20" s="23" t="s">
        <v>41</v>
      </c>
      <c r="R20" s="37" t="s">
        <v>40</v>
      </c>
      <c r="S20" s="23" t="s">
        <v>41</v>
      </c>
      <c r="T20" s="37" t="s">
        <v>40</v>
      </c>
      <c r="U20" s="23" t="s">
        <v>41</v>
      </c>
      <c r="V20" s="37" t="s">
        <v>40</v>
      </c>
      <c r="W20" s="23" t="s">
        <v>41</v>
      </c>
      <c r="X20" s="37" t="s">
        <v>40</v>
      </c>
      <c r="Y20" s="31" t="s">
        <v>41</v>
      </c>
    </row>
    <row r="21" outlineLevel="1">
      <c r="A21" s="32"/>
      <c r="B21" s="33" t="s">
        <v>115</v>
      </c>
      <c r="C21" s="34" t="s">
        <v>116</v>
      </c>
      <c r="D21" s="21">
        <v>16000.0</v>
      </c>
      <c r="E21" s="21">
        <v>30.0</v>
      </c>
      <c r="F21" s="23" t="s">
        <v>17</v>
      </c>
      <c r="G21" s="23"/>
      <c r="H21" s="24"/>
      <c r="I21" s="38" t="s">
        <v>20</v>
      </c>
      <c r="J21" s="26" t="s">
        <v>117</v>
      </c>
      <c r="K21" s="36" t="s">
        <v>22</v>
      </c>
      <c r="L21" s="31" t="s">
        <v>118</v>
      </c>
      <c r="M21" s="31" t="s">
        <v>22</v>
      </c>
      <c r="N21" s="31" t="s">
        <v>119</v>
      </c>
      <c r="O21" s="31" t="s">
        <v>22</v>
      </c>
      <c r="P21" s="31" t="s">
        <v>22</v>
      </c>
      <c r="Q21" s="31" t="s">
        <v>120</v>
      </c>
      <c r="R21" s="37" t="s">
        <v>22</v>
      </c>
      <c r="S21" s="31" t="s">
        <v>121</v>
      </c>
      <c r="T21" s="37" t="s">
        <v>22</v>
      </c>
      <c r="U21" s="23" t="s">
        <v>122</v>
      </c>
      <c r="V21" s="37" t="s">
        <v>22</v>
      </c>
      <c r="W21" s="23" t="s">
        <v>123</v>
      </c>
      <c r="X21" s="37" t="s">
        <v>22</v>
      </c>
      <c r="Y21" s="31" t="s">
        <v>124</v>
      </c>
    </row>
    <row r="22" outlineLevel="1">
      <c r="A22" s="32"/>
      <c r="B22" s="33" t="s">
        <v>125</v>
      </c>
      <c r="C22" s="34" t="s">
        <v>116</v>
      </c>
      <c r="D22" s="40">
        <v>250.0</v>
      </c>
      <c r="E22" s="40">
        <v>4.0</v>
      </c>
      <c r="F22" s="41" t="s">
        <v>58</v>
      </c>
      <c r="G22" s="23"/>
      <c r="H22" s="24"/>
      <c r="I22" s="38" t="s">
        <v>20</v>
      </c>
      <c r="J22" s="26" t="s">
        <v>117</v>
      </c>
      <c r="K22" s="42" t="s">
        <v>22</v>
      </c>
      <c r="L22" s="31" t="s">
        <v>118</v>
      </c>
      <c r="M22" s="31" t="s">
        <v>22</v>
      </c>
      <c r="N22" s="31" t="s">
        <v>119</v>
      </c>
      <c r="O22" s="31" t="s">
        <v>22</v>
      </c>
      <c r="P22" s="31" t="s">
        <v>22</v>
      </c>
      <c r="Q22" s="31" t="s">
        <v>120</v>
      </c>
      <c r="R22" s="37" t="s">
        <v>22</v>
      </c>
      <c r="S22" s="31" t="s">
        <v>121</v>
      </c>
      <c r="T22" s="37" t="s">
        <v>22</v>
      </c>
      <c r="U22" s="23" t="s">
        <v>122</v>
      </c>
      <c r="V22" s="37" t="s">
        <v>22</v>
      </c>
      <c r="W22" s="23" t="s">
        <v>123</v>
      </c>
      <c r="X22" s="37" t="s">
        <v>22</v>
      </c>
      <c r="Y22" s="31" t="s">
        <v>124</v>
      </c>
    </row>
    <row r="23" outlineLevel="1">
      <c r="A23" s="32"/>
      <c r="B23" s="33" t="s">
        <v>126</v>
      </c>
      <c r="C23" s="34" t="s">
        <v>116</v>
      </c>
      <c r="D23" s="40">
        <v>200.0</v>
      </c>
      <c r="E23" s="40">
        <v>1.0</v>
      </c>
      <c r="F23" s="41" t="s">
        <v>58</v>
      </c>
      <c r="G23" s="23" t="s">
        <v>127</v>
      </c>
      <c r="H23" s="26" t="s">
        <v>128</v>
      </c>
      <c r="I23" s="38" t="s">
        <v>59</v>
      </c>
      <c r="J23" s="26" t="s">
        <v>128</v>
      </c>
      <c r="K23" s="42" t="s">
        <v>22</v>
      </c>
      <c r="L23" s="31" t="s">
        <v>118</v>
      </c>
      <c r="M23" s="31" t="s">
        <v>22</v>
      </c>
      <c r="N23" s="31" t="s">
        <v>119</v>
      </c>
      <c r="O23" s="43" t="s">
        <v>40</v>
      </c>
      <c r="P23" s="43" t="s">
        <v>40</v>
      </c>
      <c r="Q23" s="31" t="s">
        <v>41</v>
      </c>
      <c r="R23" s="37" t="s">
        <v>40</v>
      </c>
      <c r="S23" s="31" t="s">
        <v>41</v>
      </c>
      <c r="T23" s="37" t="s">
        <v>40</v>
      </c>
      <c r="U23" s="31" t="s">
        <v>41</v>
      </c>
      <c r="V23" s="37" t="s">
        <v>40</v>
      </c>
      <c r="W23" s="31" t="s">
        <v>41</v>
      </c>
      <c r="X23" s="37" t="s">
        <v>40</v>
      </c>
      <c r="Y23" s="31" t="s">
        <v>41</v>
      </c>
    </row>
    <row r="24" outlineLevel="1">
      <c r="A24" s="32"/>
      <c r="B24" s="33" t="s">
        <v>129</v>
      </c>
      <c r="C24" s="34" t="s">
        <v>130</v>
      </c>
      <c r="D24" s="44">
        <v>900.0</v>
      </c>
      <c r="E24" s="44">
        <v>3.0</v>
      </c>
      <c r="F24" s="41" t="s">
        <v>58</v>
      </c>
      <c r="G24" s="23"/>
      <c r="H24" s="24"/>
      <c r="I24" s="25" t="s">
        <v>32</v>
      </c>
      <c r="J24" s="26" t="s">
        <v>131</v>
      </c>
      <c r="K24" s="42" t="s">
        <v>22</v>
      </c>
      <c r="L24" s="43" t="s">
        <v>132</v>
      </c>
      <c r="M24" s="43" t="s">
        <v>22</v>
      </c>
      <c r="N24" s="43" t="s">
        <v>131</v>
      </c>
      <c r="O24" s="43" t="s">
        <v>22</v>
      </c>
      <c r="P24" s="43" t="s">
        <v>22</v>
      </c>
      <c r="Q24" s="41" t="s">
        <v>133</v>
      </c>
      <c r="R24" s="37" t="s">
        <v>40</v>
      </c>
      <c r="S24" s="23" t="s">
        <v>41</v>
      </c>
      <c r="T24" s="37" t="s">
        <v>22</v>
      </c>
      <c r="U24" s="31" t="s">
        <v>134</v>
      </c>
      <c r="V24" s="37" t="s">
        <v>40</v>
      </c>
      <c r="W24" s="23" t="s">
        <v>41</v>
      </c>
      <c r="X24" s="37" t="s">
        <v>22</v>
      </c>
      <c r="Y24" s="31" t="s">
        <v>135</v>
      </c>
    </row>
    <row r="25" outlineLevel="1">
      <c r="A25" s="32"/>
      <c r="B25" s="33" t="s">
        <v>136</v>
      </c>
      <c r="C25" s="34" t="s">
        <v>137</v>
      </c>
      <c r="D25" s="44">
        <v>12000.0</v>
      </c>
      <c r="E25" s="44">
        <v>17.0</v>
      </c>
      <c r="F25" s="41" t="s">
        <v>17</v>
      </c>
      <c r="G25" s="23"/>
      <c r="H25" s="45"/>
      <c r="I25" s="38" t="s">
        <v>32</v>
      </c>
      <c r="J25" s="26" t="s">
        <v>138</v>
      </c>
      <c r="K25" s="42" t="s">
        <v>22</v>
      </c>
      <c r="L25" s="43" t="s">
        <v>139</v>
      </c>
      <c r="M25" s="43" t="s">
        <v>22</v>
      </c>
      <c r="N25" s="43" t="s">
        <v>140</v>
      </c>
      <c r="O25" s="43" t="s">
        <v>22</v>
      </c>
      <c r="P25" s="43" t="s">
        <v>22</v>
      </c>
      <c r="Q25" s="41" t="s">
        <v>141</v>
      </c>
      <c r="R25" s="37" t="s">
        <v>22</v>
      </c>
      <c r="S25" s="41" t="s">
        <v>142</v>
      </c>
      <c r="T25" s="37" t="s">
        <v>22</v>
      </c>
      <c r="U25" s="41" t="s">
        <v>143</v>
      </c>
      <c r="V25" s="37" t="s">
        <v>22</v>
      </c>
      <c r="W25" s="41" t="s">
        <v>144</v>
      </c>
      <c r="X25" s="37" t="s">
        <v>22</v>
      </c>
      <c r="Y25" s="43" t="s">
        <v>145</v>
      </c>
    </row>
    <row r="26" outlineLevel="1">
      <c r="A26" s="32"/>
      <c r="B26" s="33" t="s">
        <v>146</v>
      </c>
      <c r="C26" s="34" t="s">
        <v>137</v>
      </c>
      <c r="D26" s="44">
        <v>50.0</v>
      </c>
      <c r="E26" s="44">
        <v>1.0</v>
      </c>
      <c r="F26" s="41" t="s">
        <v>58</v>
      </c>
      <c r="G26" s="41"/>
      <c r="H26" s="45"/>
      <c r="I26" s="25" t="s">
        <v>59</v>
      </c>
      <c r="J26" s="26" t="s">
        <v>138</v>
      </c>
      <c r="K26" s="42" t="s">
        <v>22</v>
      </c>
      <c r="L26" s="43" t="s">
        <v>139</v>
      </c>
      <c r="M26" s="43" t="s">
        <v>40</v>
      </c>
      <c r="N26" s="43" t="s">
        <v>140</v>
      </c>
      <c r="O26" s="43" t="s">
        <v>40</v>
      </c>
      <c r="P26" s="43" t="s">
        <v>40</v>
      </c>
      <c r="Q26" s="41" t="s">
        <v>41</v>
      </c>
      <c r="R26" s="43" t="s">
        <v>40</v>
      </c>
      <c r="S26" s="41" t="s">
        <v>41</v>
      </c>
      <c r="T26" s="43" t="s">
        <v>40</v>
      </c>
      <c r="U26" s="41" t="s">
        <v>41</v>
      </c>
      <c r="V26" s="43" t="s">
        <v>40</v>
      </c>
      <c r="W26" s="41" t="s">
        <v>41</v>
      </c>
      <c r="X26" s="37" t="s">
        <v>40</v>
      </c>
      <c r="Y26" s="31" t="s">
        <v>41</v>
      </c>
    </row>
    <row r="27" outlineLevel="1">
      <c r="A27" s="46"/>
      <c r="B27" s="33" t="s">
        <v>147</v>
      </c>
      <c r="C27" s="34" t="s">
        <v>137</v>
      </c>
      <c r="D27" s="47">
        <v>1000.0</v>
      </c>
      <c r="E27" s="44">
        <v>5.0</v>
      </c>
      <c r="F27" s="41" t="s">
        <v>58</v>
      </c>
      <c r="G27" s="41"/>
      <c r="H27" s="45"/>
      <c r="I27" s="48" t="s">
        <v>32</v>
      </c>
      <c r="J27" s="49" t="s">
        <v>148</v>
      </c>
      <c r="K27" s="42" t="s">
        <v>22</v>
      </c>
      <c r="L27" s="43" t="s">
        <v>139</v>
      </c>
      <c r="M27" s="43" t="s">
        <v>40</v>
      </c>
      <c r="N27" s="43" t="s">
        <v>140</v>
      </c>
      <c r="O27" s="43" t="s">
        <v>40</v>
      </c>
      <c r="P27" s="43" t="s">
        <v>40</v>
      </c>
      <c r="Q27" s="50" t="s">
        <v>41</v>
      </c>
      <c r="R27" s="51" t="s">
        <v>40</v>
      </c>
      <c r="S27" s="50" t="s">
        <v>41</v>
      </c>
      <c r="T27" s="51" t="s">
        <v>40</v>
      </c>
      <c r="U27" s="52" t="s">
        <v>41</v>
      </c>
      <c r="V27" s="51" t="s">
        <v>40</v>
      </c>
      <c r="W27" s="50" t="s">
        <v>41</v>
      </c>
      <c r="X27" s="37" t="s">
        <v>40</v>
      </c>
      <c r="Y27" s="31" t="s">
        <v>41</v>
      </c>
    </row>
    <row r="28">
      <c r="A28" s="53" t="s">
        <v>149</v>
      </c>
      <c r="B28" s="5"/>
      <c r="C28" s="54"/>
      <c r="D28" s="55">
        <f t="shared" ref="D28:E28" si="1">SUM(D3:D27)</f>
        <v>246150</v>
      </c>
      <c r="E28" s="55">
        <f t="shared" si="1"/>
        <v>355</v>
      </c>
      <c r="F28" s="56"/>
      <c r="G28" s="56"/>
      <c r="H28" s="57"/>
      <c r="I28" s="58"/>
      <c r="J28" s="59"/>
      <c r="K28" s="60">
        <f>COUNTIF(K3:K27,"si")</f>
        <v>21</v>
      </c>
      <c r="L28" s="61"/>
      <c r="M28" s="60">
        <f>COUNTIF(M3:M27,"si")</f>
        <v>13</v>
      </c>
      <c r="N28" s="56"/>
      <c r="O28" s="61">
        <f t="shared" ref="O28:P28" si="2">COUNTIF(O3:O27,"si")</f>
        <v>14</v>
      </c>
      <c r="P28" s="60">
        <f t="shared" si="2"/>
        <v>13</v>
      </c>
      <c r="Q28" s="56"/>
      <c r="R28" s="61">
        <f>COUNTIF(R3:R27,"si")</f>
        <v>9</v>
      </c>
      <c r="S28" s="56"/>
      <c r="T28" s="61">
        <f>COUNTIF(T3:T27,"si")</f>
        <v>11</v>
      </c>
      <c r="U28" s="61"/>
      <c r="V28" s="61">
        <f>COUNTIF(V3:V27,"si")</f>
        <v>9</v>
      </c>
      <c r="W28" s="56"/>
      <c r="X28" s="61">
        <f>COUNTIF(X3:X27,"si")</f>
        <v>8</v>
      </c>
      <c r="Y28" s="61"/>
    </row>
    <row r="29" outlineLevel="1">
      <c r="A29" s="62" t="s">
        <v>150</v>
      </c>
      <c r="B29" s="63" t="s">
        <v>151</v>
      </c>
      <c r="C29" s="64" t="s">
        <v>152</v>
      </c>
      <c r="D29" s="21">
        <v>40000.0</v>
      </c>
      <c r="E29" s="21">
        <v>165.0</v>
      </c>
      <c r="F29" s="22" t="s">
        <v>17</v>
      </c>
      <c r="G29" s="22"/>
      <c r="H29" s="65" t="s">
        <v>41</v>
      </c>
      <c r="I29" s="25" t="s">
        <v>20</v>
      </c>
      <c r="J29" s="26" t="s">
        <v>153</v>
      </c>
      <c r="K29" s="27" t="s">
        <v>22</v>
      </c>
      <c r="L29" s="28"/>
      <c r="M29" s="28" t="s">
        <v>22</v>
      </c>
      <c r="N29" s="28" t="s">
        <v>154</v>
      </c>
      <c r="O29" s="28" t="s">
        <v>22</v>
      </c>
      <c r="P29" s="28" t="s">
        <v>22</v>
      </c>
      <c r="Q29" s="29" t="s">
        <v>155</v>
      </c>
      <c r="R29" s="28" t="s">
        <v>22</v>
      </c>
      <c r="S29" s="23" t="s">
        <v>156</v>
      </c>
      <c r="T29" s="28" t="s">
        <v>22</v>
      </c>
      <c r="U29" s="31" t="s">
        <v>157</v>
      </c>
      <c r="V29" s="28" t="s">
        <v>22</v>
      </c>
      <c r="W29" s="23" t="s">
        <v>158</v>
      </c>
      <c r="X29" s="28" t="s">
        <v>22</v>
      </c>
      <c r="Y29" s="31" t="s">
        <v>159</v>
      </c>
    </row>
    <row r="30" outlineLevel="1">
      <c r="A30" s="66"/>
      <c r="B30" s="63" t="s">
        <v>160</v>
      </c>
      <c r="C30" s="64" t="s">
        <v>152</v>
      </c>
      <c r="D30" s="21">
        <v>250.0</v>
      </c>
      <c r="E30" s="21">
        <v>2.0</v>
      </c>
      <c r="F30" s="22" t="s">
        <v>58</v>
      </c>
      <c r="G30" s="22" t="s">
        <v>18</v>
      </c>
      <c r="H30" s="65" t="s">
        <v>161</v>
      </c>
      <c r="I30" s="25" t="s">
        <v>59</v>
      </c>
      <c r="J30" s="67" t="s">
        <v>162</v>
      </c>
      <c r="K30" s="27" t="s">
        <v>40</v>
      </c>
      <c r="L30" s="28" t="s">
        <v>41</v>
      </c>
      <c r="M30" s="27" t="s">
        <v>40</v>
      </c>
      <c r="N30" s="28" t="s">
        <v>41</v>
      </c>
      <c r="O30" s="28" t="s">
        <v>40</v>
      </c>
      <c r="P30" s="28" t="s">
        <v>40</v>
      </c>
      <c r="Q30" s="29" t="s">
        <v>41</v>
      </c>
      <c r="R30" s="31" t="s">
        <v>22</v>
      </c>
      <c r="S30" s="28" t="s">
        <v>163</v>
      </c>
      <c r="T30" s="27" t="s">
        <v>40</v>
      </c>
      <c r="U30" s="28" t="s">
        <v>41</v>
      </c>
      <c r="V30" s="27" t="s">
        <v>40</v>
      </c>
      <c r="W30" s="28" t="s">
        <v>41</v>
      </c>
      <c r="X30" s="27" t="s">
        <v>40</v>
      </c>
      <c r="Y30" s="28" t="s">
        <v>41</v>
      </c>
    </row>
    <row r="31" outlineLevel="1">
      <c r="A31" s="66"/>
      <c r="B31" s="63" t="s">
        <v>164</v>
      </c>
      <c r="C31" s="64" t="s">
        <v>152</v>
      </c>
      <c r="D31" s="35">
        <v>900.0</v>
      </c>
      <c r="E31" s="35">
        <v>2.0</v>
      </c>
      <c r="F31" s="23" t="s">
        <v>58</v>
      </c>
      <c r="G31" s="22" t="s">
        <v>18</v>
      </c>
      <c r="H31" s="65" t="s">
        <v>165</v>
      </c>
      <c r="I31" s="25" t="s">
        <v>96</v>
      </c>
      <c r="J31" s="67" t="s">
        <v>41</v>
      </c>
      <c r="K31" s="36"/>
      <c r="L31" s="31"/>
      <c r="M31" s="31" t="s">
        <v>40</v>
      </c>
      <c r="N31" s="31" t="s">
        <v>41</v>
      </c>
      <c r="O31" s="31" t="s">
        <v>22</v>
      </c>
      <c r="P31" s="31" t="s">
        <v>22</v>
      </c>
      <c r="Q31" s="31" t="s">
        <v>166</v>
      </c>
      <c r="R31" s="31" t="s">
        <v>40</v>
      </c>
      <c r="S31" s="23" t="s">
        <v>41</v>
      </c>
      <c r="T31" s="31" t="s">
        <v>22</v>
      </c>
      <c r="U31" s="31" t="s">
        <v>166</v>
      </c>
      <c r="V31" s="31" t="s">
        <v>22</v>
      </c>
      <c r="W31" s="31" t="s">
        <v>166</v>
      </c>
      <c r="X31" s="31" t="s">
        <v>22</v>
      </c>
      <c r="Y31" s="31" t="s">
        <v>166</v>
      </c>
    </row>
    <row r="32" outlineLevel="1">
      <c r="A32" s="66"/>
      <c r="B32" s="63" t="s">
        <v>167</v>
      </c>
      <c r="C32" s="64" t="s">
        <v>152</v>
      </c>
      <c r="D32" s="35">
        <v>30.0</v>
      </c>
      <c r="E32" s="35">
        <v>1.0</v>
      </c>
      <c r="F32" s="23" t="s">
        <v>58</v>
      </c>
      <c r="G32" s="22"/>
      <c r="H32" s="65" t="s">
        <v>41</v>
      </c>
      <c r="I32" s="38" t="s">
        <v>59</v>
      </c>
      <c r="J32" s="27" t="s">
        <v>168</v>
      </c>
      <c r="K32" s="36"/>
      <c r="L32" s="27"/>
      <c r="M32" s="31"/>
      <c r="N32" s="31"/>
      <c r="O32" s="31" t="s">
        <v>40</v>
      </c>
      <c r="P32" s="31" t="s">
        <v>40</v>
      </c>
      <c r="Q32" s="31" t="s">
        <v>41</v>
      </c>
      <c r="R32" s="31" t="s">
        <v>40</v>
      </c>
      <c r="S32" s="31" t="s">
        <v>41</v>
      </c>
      <c r="T32" s="31" t="s">
        <v>40</v>
      </c>
      <c r="U32" s="31" t="s">
        <v>41</v>
      </c>
      <c r="V32" s="31" t="s">
        <v>40</v>
      </c>
      <c r="W32" s="31" t="s">
        <v>41</v>
      </c>
      <c r="X32" s="31" t="s">
        <v>40</v>
      </c>
      <c r="Y32" s="31" t="s">
        <v>41</v>
      </c>
    </row>
    <row r="33" outlineLevel="1">
      <c r="A33" s="66"/>
      <c r="B33" s="63" t="s">
        <v>169</v>
      </c>
      <c r="C33" s="64" t="s">
        <v>152</v>
      </c>
      <c r="D33" s="35">
        <v>200.0</v>
      </c>
      <c r="E33" s="35">
        <v>1.0</v>
      </c>
      <c r="F33" s="23" t="s">
        <v>58</v>
      </c>
      <c r="G33" s="22"/>
      <c r="H33" s="65" t="s">
        <v>41</v>
      </c>
      <c r="I33" s="38" t="s">
        <v>59</v>
      </c>
      <c r="J33" s="65" t="s">
        <v>170</v>
      </c>
      <c r="K33" s="36"/>
      <c r="L33" s="27"/>
      <c r="M33" s="31"/>
      <c r="N33" s="31"/>
      <c r="O33" s="31" t="s">
        <v>40</v>
      </c>
      <c r="P33" s="31" t="s">
        <v>40</v>
      </c>
      <c r="Q33" s="31" t="s">
        <v>41</v>
      </c>
      <c r="R33" s="31" t="s">
        <v>40</v>
      </c>
      <c r="S33" s="31" t="s">
        <v>41</v>
      </c>
      <c r="T33" s="31" t="s">
        <v>40</v>
      </c>
      <c r="U33" s="31" t="s">
        <v>41</v>
      </c>
      <c r="V33" s="31" t="s">
        <v>40</v>
      </c>
      <c r="W33" s="31" t="s">
        <v>41</v>
      </c>
      <c r="X33" s="31" t="s">
        <v>40</v>
      </c>
      <c r="Y33" s="31" t="s">
        <v>41</v>
      </c>
    </row>
    <row r="34" outlineLevel="1">
      <c r="A34" s="66"/>
      <c r="B34" s="63" t="s">
        <v>171</v>
      </c>
      <c r="C34" s="64" t="s">
        <v>152</v>
      </c>
      <c r="D34" s="35">
        <v>10.0</v>
      </c>
      <c r="E34" s="35">
        <v>1.0</v>
      </c>
      <c r="F34" s="23" t="s">
        <v>58</v>
      </c>
      <c r="G34" s="22"/>
      <c r="H34" s="65" t="s">
        <v>41</v>
      </c>
      <c r="I34" s="38" t="s">
        <v>59</v>
      </c>
      <c r="J34" s="65" t="s">
        <v>172</v>
      </c>
      <c r="K34" s="36"/>
      <c r="L34" s="27"/>
      <c r="M34" s="31"/>
      <c r="N34" s="31"/>
      <c r="O34" s="31" t="s">
        <v>40</v>
      </c>
      <c r="P34" s="31" t="s">
        <v>40</v>
      </c>
      <c r="Q34" s="31" t="s">
        <v>41</v>
      </c>
      <c r="R34" s="31" t="s">
        <v>40</v>
      </c>
      <c r="S34" s="31" t="s">
        <v>41</v>
      </c>
      <c r="T34" s="31" t="s">
        <v>40</v>
      </c>
      <c r="U34" s="31" t="s">
        <v>41</v>
      </c>
      <c r="V34" s="31" t="s">
        <v>40</v>
      </c>
      <c r="W34" s="31" t="s">
        <v>41</v>
      </c>
      <c r="X34" s="31" t="s">
        <v>40</v>
      </c>
      <c r="Y34" s="31" t="s">
        <v>41</v>
      </c>
    </row>
    <row r="35" outlineLevel="1">
      <c r="A35" s="66"/>
      <c r="B35" s="63" t="s">
        <v>173</v>
      </c>
      <c r="C35" s="64" t="s">
        <v>152</v>
      </c>
      <c r="D35" s="35">
        <v>400.0</v>
      </c>
      <c r="E35" s="35">
        <v>1.0</v>
      </c>
      <c r="F35" s="23" t="s">
        <v>58</v>
      </c>
      <c r="G35" s="22"/>
      <c r="H35" s="65" t="s">
        <v>41</v>
      </c>
      <c r="I35" s="38" t="s">
        <v>59</v>
      </c>
      <c r="J35" s="65" t="s">
        <v>174</v>
      </c>
      <c r="K35" s="36"/>
      <c r="L35" s="27"/>
      <c r="M35" s="31"/>
      <c r="N35" s="31"/>
      <c r="O35" s="31" t="s">
        <v>40</v>
      </c>
      <c r="P35" s="31" t="s">
        <v>40</v>
      </c>
      <c r="Q35" s="31" t="s">
        <v>41</v>
      </c>
      <c r="R35" s="31" t="s">
        <v>40</v>
      </c>
      <c r="S35" s="31" t="s">
        <v>41</v>
      </c>
      <c r="T35" s="31" t="s">
        <v>40</v>
      </c>
      <c r="U35" s="31" t="s">
        <v>41</v>
      </c>
      <c r="V35" s="31" t="s">
        <v>40</v>
      </c>
      <c r="W35" s="31" t="s">
        <v>41</v>
      </c>
      <c r="X35" s="31" t="s">
        <v>40</v>
      </c>
      <c r="Y35" s="31" t="s">
        <v>41</v>
      </c>
    </row>
    <row r="36" outlineLevel="1">
      <c r="A36" s="66"/>
      <c r="B36" s="63" t="s">
        <v>175</v>
      </c>
      <c r="C36" s="64" t="s">
        <v>152</v>
      </c>
      <c r="D36" s="35">
        <v>150.0</v>
      </c>
      <c r="E36" s="35">
        <v>1.0</v>
      </c>
      <c r="F36" s="23" t="s">
        <v>58</v>
      </c>
      <c r="G36" s="22"/>
      <c r="H36" s="65" t="s">
        <v>41</v>
      </c>
      <c r="I36" s="38" t="s">
        <v>59</v>
      </c>
      <c r="J36" s="65" t="s">
        <v>176</v>
      </c>
      <c r="K36" s="36"/>
      <c r="L36" s="27"/>
      <c r="M36" s="31"/>
      <c r="N36" s="31"/>
      <c r="O36" s="31" t="s">
        <v>40</v>
      </c>
      <c r="P36" s="31" t="s">
        <v>40</v>
      </c>
      <c r="Q36" s="31" t="s">
        <v>41</v>
      </c>
      <c r="R36" s="31" t="s">
        <v>40</v>
      </c>
      <c r="S36" s="31" t="s">
        <v>41</v>
      </c>
      <c r="T36" s="31" t="s">
        <v>40</v>
      </c>
      <c r="U36" s="31" t="s">
        <v>41</v>
      </c>
      <c r="V36" s="31" t="s">
        <v>40</v>
      </c>
      <c r="W36" s="31" t="s">
        <v>41</v>
      </c>
      <c r="X36" s="31" t="s">
        <v>40</v>
      </c>
      <c r="Y36" s="31" t="s">
        <v>41</v>
      </c>
    </row>
    <row r="37" outlineLevel="1">
      <c r="A37" s="66"/>
      <c r="B37" s="63" t="s">
        <v>177</v>
      </c>
      <c r="C37" s="64" t="s">
        <v>152</v>
      </c>
      <c r="D37" s="35">
        <v>120.0</v>
      </c>
      <c r="E37" s="35">
        <v>1.0</v>
      </c>
      <c r="F37" s="23" t="s">
        <v>58</v>
      </c>
      <c r="G37" s="22"/>
      <c r="H37" s="65" t="s">
        <v>41</v>
      </c>
      <c r="I37" s="38" t="s">
        <v>59</v>
      </c>
      <c r="J37" s="65" t="s">
        <v>178</v>
      </c>
      <c r="K37" s="36"/>
      <c r="L37" s="27"/>
      <c r="M37" s="31"/>
      <c r="N37" s="31"/>
      <c r="O37" s="31" t="s">
        <v>40</v>
      </c>
      <c r="P37" s="31" t="s">
        <v>40</v>
      </c>
      <c r="Q37" s="31" t="s">
        <v>41</v>
      </c>
      <c r="R37" s="31" t="s">
        <v>40</v>
      </c>
      <c r="S37" s="31" t="s">
        <v>41</v>
      </c>
      <c r="T37" s="31" t="s">
        <v>40</v>
      </c>
      <c r="U37" s="31" t="s">
        <v>41</v>
      </c>
      <c r="V37" s="31" t="s">
        <v>40</v>
      </c>
      <c r="W37" s="31" t="s">
        <v>41</v>
      </c>
      <c r="X37" s="31" t="s">
        <v>40</v>
      </c>
      <c r="Y37" s="31" t="s">
        <v>41</v>
      </c>
    </row>
    <row r="38" outlineLevel="1">
      <c r="A38" s="66"/>
      <c r="B38" s="63" t="s">
        <v>179</v>
      </c>
      <c r="C38" s="64" t="s">
        <v>152</v>
      </c>
      <c r="D38" s="35">
        <v>50.0</v>
      </c>
      <c r="E38" s="35">
        <v>1.0</v>
      </c>
      <c r="F38" s="23" t="s">
        <v>58</v>
      </c>
      <c r="G38" s="22"/>
      <c r="H38" s="65" t="s">
        <v>41</v>
      </c>
      <c r="I38" s="38" t="s">
        <v>59</v>
      </c>
      <c r="J38" s="65" t="s">
        <v>180</v>
      </c>
      <c r="K38" s="36"/>
      <c r="L38" s="27"/>
      <c r="M38" s="31"/>
      <c r="N38" s="31"/>
      <c r="O38" s="31" t="s">
        <v>40</v>
      </c>
      <c r="P38" s="31" t="s">
        <v>40</v>
      </c>
      <c r="Q38" s="31" t="s">
        <v>41</v>
      </c>
      <c r="R38" s="31" t="s">
        <v>40</v>
      </c>
      <c r="S38" s="31" t="s">
        <v>41</v>
      </c>
      <c r="T38" s="31" t="s">
        <v>40</v>
      </c>
      <c r="U38" s="31" t="s">
        <v>41</v>
      </c>
      <c r="V38" s="31" t="s">
        <v>40</v>
      </c>
      <c r="W38" s="31" t="s">
        <v>41</v>
      </c>
      <c r="X38" s="31" t="s">
        <v>40</v>
      </c>
      <c r="Y38" s="31" t="s">
        <v>41</v>
      </c>
    </row>
    <row r="39" outlineLevel="1">
      <c r="A39" s="66"/>
      <c r="B39" s="63" t="s">
        <v>181</v>
      </c>
      <c r="C39" s="64" t="s">
        <v>152</v>
      </c>
      <c r="D39" s="35">
        <v>60.0</v>
      </c>
      <c r="E39" s="35">
        <v>1.0</v>
      </c>
      <c r="F39" s="23" t="s">
        <v>58</v>
      </c>
      <c r="G39" s="22"/>
      <c r="H39" s="65" t="s">
        <v>41</v>
      </c>
      <c r="I39" s="38" t="s">
        <v>59</v>
      </c>
      <c r="J39" s="65" t="s">
        <v>182</v>
      </c>
      <c r="K39" s="36"/>
      <c r="L39" s="27"/>
      <c r="M39" s="31"/>
      <c r="N39" s="31"/>
      <c r="O39" s="31" t="s">
        <v>40</v>
      </c>
      <c r="P39" s="31" t="s">
        <v>40</v>
      </c>
      <c r="Q39" s="31" t="s">
        <v>41</v>
      </c>
      <c r="R39" s="31" t="s">
        <v>40</v>
      </c>
      <c r="S39" s="31" t="s">
        <v>41</v>
      </c>
      <c r="T39" s="31" t="s">
        <v>40</v>
      </c>
      <c r="U39" s="31" t="s">
        <v>41</v>
      </c>
      <c r="V39" s="31" t="s">
        <v>40</v>
      </c>
      <c r="W39" s="31" t="s">
        <v>41</v>
      </c>
      <c r="X39" s="31" t="s">
        <v>40</v>
      </c>
      <c r="Y39" s="31" t="s">
        <v>41</v>
      </c>
    </row>
    <row r="40" outlineLevel="1">
      <c r="A40" s="66"/>
      <c r="B40" s="63" t="s">
        <v>183</v>
      </c>
      <c r="C40" s="64" t="s">
        <v>152</v>
      </c>
      <c r="D40" s="35">
        <v>50.0</v>
      </c>
      <c r="E40" s="35">
        <v>1.0</v>
      </c>
      <c r="F40" s="23" t="s">
        <v>58</v>
      </c>
      <c r="G40" s="22" t="s">
        <v>18</v>
      </c>
      <c r="H40" s="65" t="s">
        <v>184</v>
      </c>
      <c r="I40" s="38" t="s">
        <v>59</v>
      </c>
      <c r="J40" s="65" t="s">
        <v>185</v>
      </c>
      <c r="K40" s="36"/>
      <c r="L40" s="65" t="s">
        <v>184</v>
      </c>
      <c r="M40" s="31"/>
      <c r="N40" s="31"/>
      <c r="O40" s="31" t="s">
        <v>40</v>
      </c>
      <c r="P40" s="31" t="s">
        <v>40</v>
      </c>
      <c r="Q40" s="31" t="s">
        <v>41</v>
      </c>
      <c r="R40" s="31" t="s">
        <v>40</v>
      </c>
      <c r="S40" s="31" t="s">
        <v>41</v>
      </c>
      <c r="T40" s="31" t="s">
        <v>40</v>
      </c>
      <c r="U40" s="31" t="s">
        <v>41</v>
      </c>
      <c r="V40" s="31" t="s">
        <v>40</v>
      </c>
      <c r="W40" s="31" t="s">
        <v>41</v>
      </c>
      <c r="X40" s="31" t="s">
        <v>40</v>
      </c>
      <c r="Y40" s="31" t="s">
        <v>41</v>
      </c>
    </row>
    <row r="41" outlineLevel="1">
      <c r="A41" s="66"/>
      <c r="B41" s="63" t="s">
        <v>186</v>
      </c>
      <c r="C41" s="64" t="s">
        <v>152</v>
      </c>
      <c r="D41" s="35">
        <v>60.0</v>
      </c>
      <c r="E41" s="35">
        <v>1.0</v>
      </c>
      <c r="F41" s="23" t="s">
        <v>58</v>
      </c>
      <c r="G41" s="22"/>
      <c r="H41" s="65" t="s">
        <v>41</v>
      </c>
      <c r="I41" s="38" t="s">
        <v>59</v>
      </c>
      <c r="J41" s="65" t="s">
        <v>187</v>
      </c>
      <c r="K41" s="36"/>
      <c r="L41" s="27"/>
      <c r="M41" s="31"/>
      <c r="N41" s="31"/>
      <c r="O41" s="31" t="s">
        <v>40</v>
      </c>
      <c r="P41" s="31" t="s">
        <v>40</v>
      </c>
      <c r="Q41" s="31" t="s">
        <v>41</v>
      </c>
      <c r="R41" s="31" t="s">
        <v>40</v>
      </c>
      <c r="S41" s="31" t="s">
        <v>41</v>
      </c>
      <c r="T41" s="31" t="s">
        <v>40</v>
      </c>
      <c r="U41" s="31" t="s">
        <v>41</v>
      </c>
      <c r="V41" s="31" t="s">
        <v>40</v>
      </c>
      <c r="W41" s="31" t="s">
        <v>41</v>
      </c>
      <c r="X41" s="31" t="s">
        <v>40</v>
      </c>
      <c r="Y41" s="31" t="s">
        <v>41</v>
      </c>
    </row>
    <row r="42" outlineLevel="1">
      <c r="A42" s="66"/>
      <c r="B42" s="63" t="s">
        <v>188</v>
      </c>
      <c r="C42" s="64" t="s">
        <v>189</v>
      </c>
      <c r="D42" s="35">
        <v>15000.0</v>
      </c>
      <c r="E42" s="35">
        <v>34.0</v>
      </c>
      <c r="F42" s="23" t="s">
        <v>30</v>
      </c>
      <c r="G42" s="22"/>
      <c r="H42" s="65" t="s">
        <v>41</v>
      </c>
      <c r="I42" s="25" t="s">
        <v>32</v>
      </c>
      <c r="J42" s="26" t="s">
        <v>190</v>
      </c>
      <c r="K42" s="36" t="s">
        <v>22</v>
      </c>
      <c r="L42" s="31" t="s">
        <v>191</v>
      </c>
      <c r="M42" s="31" t="s">
        <v>22</v>
      </c>
      <c r="N42" s="31" t="s">
        <v>192</v>
      </c>
      <c r="O42" s="31" t="s">
        <v>22</v>
      </c>
      <c r="P42" s="31" t="s">
        <v>22</v>
      </c>
      <c r="Q42" s="23" t="s">
        <v>193</v>
      </c>
      <c r="R42" s="31" t="s">
        <v>22</v>
      </c>
      <c r="S42" s="23" t="s">
        <v>194</v>
      </c>
      <c r="T42" s="31" t="s">
        <v>22</v>
      </c>
      <c r="U42" s="31" t="s">
        <v>195</v>
      </c>
      <c r="V42" s="31" t="s">
        <v>22</v>
      </c>
      <c r="W42" s="23" t="s">
        <v>196</v>
      </c>
      <c r="X42" s="31" t="s">
        <v>22</v>
      </c>
      <c r="Y42" s="31" t="s">
        <v>196</v>
      </c>
    </row>
    <row r="43" outlineLevel="1">
      <c r="A43" s="66"/>
      <c r="B43" s="63" t="s">
        <v>197</v>
      </c>
      <c r="C43" s="64" t="s">
        <v>189</v>
      </c>
      <c r="D43" s="21">
        <v>40.0</v>
      </c>
      <c r="E43" s="21">
        <v>1.0</v>
      </c>
      <c r="F43" s="23" t="s">
        <v>58</v>
      </c>
      <c r="G43" s="22"/>
      <c r="H43" s="65" t="s">
        <v>41</v>
      </c>
      <c r="I43" s="38" t="s">
        <v>59</v>
      </c>
      <c r="J43" s="26" t="s">
        <v>198</v>
      </c>
      <c r="K43" s="36"/>
      <c r="L43" s="31"/>
      <c r="M43" s="31"/>
      <c r="N43" s="31"/>
      <c r="O43" s="31"/>
      <c r="P43" s="31"/>
      <c r="Q43" s="23"/>
      <c r="R43" s="31"/>
      <c r="S43" s="23"/>
      <c r="T43" s="31" t="s">
        <v>40</v>
      </c>
      <c r="U43" s="31" t="s">
        <v>41</v>
      </c>
      <c r="V43" s="31" t="s">
        <v>40</v>
      </c>
      <c r="W43" s="23"/>
      <c r="X43" s="31"/>
      <c r="Y43" s="31"/>
    </row>
    <row r="44" outlineLevel="1">
      <c r="A44" s="66"/>
      <c r="B44" s="63" t="s">
        <v>199</v>
      </c>
      <c r="C44" s="64" t="s">
        <v>200</v>
      </c>
      <c r="D44" s="21">
        <v>2000.0</v>
      </c>
      <c r="E44" s="21">
        <v>7.0</v>
      </c>
      <c r="F44" s="23" t="s">
        <v>30</v>
      </c>
      <c r="G44" s="22"/>
      <c r="H44" s="65" t="s">
        <v>41</v>
      </c>
      <c r="I44" s="25" t="s">
        <v>32</v>
      </c>
      <c r="J44" s="67" t="s">
        <v>201</v>
      </c>
      <c r="K44" s="36" t="s">
        <v>22</v>
      </c>
      <c r="L44" s="31" t="s">
        <v>202</v>
      </c>
      <c r="M44" s="31" t="s">
        <v>22</v>
      </c>
      <c r="N44" s="31" t="s">
        <v>203</v>
      </c>
      <c r="O44" s="31" t="s">
        <v>22</v>
      </c>
      <c r="P44" s="31" t="s">
        <v>22</v>
      </c>
      <c r="Q44" s="31" t="s">
        <v>204</v>
      </c>
      <c r="R44" s="31" t="s">
        <v>22</v>
      </c>
      <c r="S44" s="23" t="s">
        <v>205</v>
      </c>
      <c r="T44" s="31" t="s">
        <v>22</v>
      </c>
      <c r="U44" s="31" t="s">
        <v>206</v>
      </c>
      <c r="V44" s="31" t="s">
        <v>22</v>
      </c>
      <c r="W44" s="23" t="s">
        <v>207</v>
      </c>
      <c r="X44" s="31" t="s">
        <v>22</v>
      </c>
      <c r="Y44" s="31" t="s">
        <v>205</v>
      </c>
    </row>
    <row r="45" outlineLevel="1">
      <c r="A45" s="66"/>
      <c r="B45" s="63" t="s">
        <v>208</v>
      </c>
      <c r="C45" s="64" t="s">
        <v>209</v>
      </c>
      <c r="D45" s="21">
        <v>2500.0</v>
      </c>
      <c r="E45" s="21">
        <v>10.0</v>
      </c>
      <c r="F45" s="23" t="s">
        <v>30</v>
      </c>
      <c r="G45" s="22"/>
      <c r="H45" s="65" t="s">
        <v>41</v>
      </c>
      <c r="I45" s="25" t="s">
        <v>32</v>
      </c>
      <c r="J45" s="67" t="s">
        <v>210</v>
      </c>
      <c r="K45" s="36" t="s">
        <v>22</v>
      </c>
      <c r="L45" s="31" t="s">
        <v>211</v>
      </c>
      <c r="M45" s="31" t="s">
        <v>22</v>
      </c>
      <c r="N45" s="31" t="s">
        <v>212</v>
      </c>
      <c r="O45" s="31" t="s">
        <v>22</v>
      </c>
      <c r="P45" s="31" t="s">
        <v>22</v>
      </c>
      <c r="Q45" s="31" t="s">
        <v>213</v>
      </c>
      <c r="R45" s="31" t="s">
        <v>22</v>
      </c>
      <c r="S45" s="23"/>
      <c r="T45" s="31" t="s">
        <v>22</v>
      </c>
      <c r="U45" s="31" t="s">
        <v>214</v>
      </c>
      <c r="V45" s="31" t="s">
        <v>22</v>
      </c>
      <c r="W45" s="23" t="s">
        <v>215</v>
      </c>
      <c r="X45" s="31" t="s">
        <v>40</v>
      </c>
      <c r="Y45" s="31" t="s">
        <v>41</v>
      </c>
    </row>
    <row r="46" outlineLevel="1">
      <c r="A46" s="66"/>
      <c r="B46" s="63" t="s">
        <v>216</v>
      </c>
      <c r="C46" s="64" t="s">
        <v>209</v>
      </c>
      <c r="D46" s="21">
        <v>220.0</v>
      </c>
      <c r="E46" s="21">
        <v>3.0</v>
      </c>
      <c r="F46" s="23" t="s">
        <v>58</v>
      </c>
      <c r="G46" s="22"/>
      <c r="H46" s="65" t="s">
        <v>41</v>
      </c>
      <c r="I46" s="68" t="s">
        <v>59</v>
      </c>
      <c r="J46" s="69" t="s">
        <v>217</v>
      </c>
      <c r="K46" s="36"/>
      <c r="L46" s="31"/>
      <c r="M46" s="31" t="s">
        <v>40</v>
      </c>
      <c r="N46" s="31" t="s">
        <v>41</v>
      </c>
      <c r="O46" s="31" t="s">
        <v>40</v>
      </c>
      <c r="P46" s="31" t="s">
        <v>40</v>
      </c>
      <c r="Q46" s="31" t="s">
        <v>41</v>
      </c>
      <c r="R46" s="31" t="s">
        <v>40</v>
      </c>
      <c r="S46" s="31" t="s">
        <v>41</v>
      </c>
      <c r="T46" s="31" t="s">
        <v>40</v>
      </c>
      <c r="U46" s="31" t="s">
        <v>41</v>
      </c>
      <c r="V46" s="31" t="s">
        <v>40</v>
      </c>
      <c r="W46" s="23" t="s">
        <v>41</v>
      </c>
      <c r="X46" s="31" t="s">
        <v>40</v>
      </c>
      <c r="Y46" s="31" t="s">
        <v>41</v>
      </c>
    </row>
    <row r="47" outlineLevel="1">
      <c r="A47" s="66"/>
      <c r="B47" s="63" t="s">
        <v>218</v>
      </c>
      <c r="C47" s="64" t="s">
        <v>209</v>
      </c>
      <c r="D47" s="21">
        <v>250.0</v>
      </c>
      <c r="E47" s="21">
        <v>4.0</v>
      </c>
      <c r="F47" s="23" t="s">
        <v>58</v>
      </c>
      <c r="G47" s="22"/>
      <c r="H47" s="65" t="s">
        <v>41</v>
      </c>
      <c r="I47" s="68" t="s">
        <v>59</v>
      </c>
      <c r="J47" s="69" t="s">
        <v>219</v>
      </c>
      <c r="K47" s="36"/>
      <c r="L47" s="31"/>
      <c r="M47" s="31" t="s">
        <v>40</v>
      </c>
      <c r="N47" s="31" t="s">
        <v>41</v>
      </c>
      <c r="O47" s="31" t="s">
        <v>40</v>
      </c>
      <c r="P47" s="31" t="s">
        <v>40</v>
      </c>
      <c r="Q47" s="31" t="s">
        <v>41</v>
      </c>
      <c r="R47" s="31" t="s">
        <v>40</v>
      </c>
      <c r="S47" s="31" t="s">
        <v>41</v>
      </c>
      <c r="T47" s="31" t="s">
        <v>40</v>
      </c>
      <c r="U47" s="31" t="s">
        <v>41</v>
      </c>
      <c r="V47" s="31" t="s">
        <v>40</v>
      </c>
      <c r="W47" s="23" t="s">
        <v>41</v>
      </c>
      <c r="X47" s="31" t="s">
        <v>40</v>
      </c>
      <c r="Y47" s="31" t="s">
        <v>41</v>
      </c>
    </row>
    <row r="48" outlineLevel="1">
      <c r="A48" s="66"/>
      <c r="B48" s="63" t="s">
        <v>220</v>
      </c>
      <c r="C48" s="64" t="s">
        <v>209</v>
      </c>
      <c r="D48" s="35">
        <v>250.0</v>
      </c>
      <c r="E48" s="35">
        <v>4.0</v>
      </c>
      <c r="F48" s="23" t="s">
        <v>58</v>
      </c>
      <c r="G48" s="22"/>
      <c r="H48" s="65" t="s">
        <v>41</v>
      </c>
      <c r="I48" s="68" t="s">
        <v>59</v>
      </c>
      <c r="J48" s="69" t="s">
        <v>221</v>
      </c>
      <c r="K48" s="36"/>
      <c r="L48" s="31"/>
      <c r="M48" s="31" t="s">
        <v>40</v>
      </c>
      <c r="N48" s="31" t="s">
        <v>41</v>
      </c>
      <c r="O48" s="31" t="s">
        <v>40</v>
      </c>
      <c r="P48" s="31" t="s">
        <v>40</v>
      </c>
      <c r="Q48" s="31" t="s">
        <v>41</v>
      </c>
      <c r="R48" s="31" t="s">
        <v>40</v>
      </c>
      <c r="S48" s="31" t="s">
        <v>41</v>
      </c>
      <c r="T48" s="31" t="s">
        <v>40</v>
      </c>
      <c r="U48" s="31" t="s">
        <v>41</v>
      </c>
      <c r="V48" s="31" t="s">
        <v>40</v>
      </c>
      <c r="W48" s="23" t="s">
        <v>41</v>
      </c>
      <c r="X48" s="31" t="s">
        <v>40</v>
      </c>
      <c r="Y48" s="31" t="s">
        <v>41</v>
      </c>
    </row>
    <row r="49" outlineLevel="1">
      <c r="A49" s="66"/>
      <c r="B49" s="63" t="s">
        <v>222</v>
      </c>
      <c r="C49" s="64" t="s">
        <v>209</v>
      </c>
      <c r="D49" s="35">
        <v>150.0</v>
      </c>
      <c r="E49" s="35">
        <v>1.0</v>
      </c>
      <c r="F49" s="23" t="s">
        <v>58</v>
      </c>
      <c r="G49" s="22"/>
      <c r="H49" s="65"/>
      <c r="I49" s="38" t="s">
        <v>59</v>
      </c>
      <c r="J49" s="26" t="s">
        <v>223</v>
      </c>
      <c r="K49" s="36"/>
      <c r="L49" s="31"/>
      <c r="M49" s="31"/>
      <c r="N49" s="31"/>
      <c r="O49" s="31"/>
      <c r="P49" s="31" t="s">
        <v>40</v>
      </c>
      <c r="Q49" s="31" t="s">
        <v>41</v>
      </c>
      <c r="R49" s="31"/>
      <c r="S49" s="23"/>
      <c r="T49" s="31" t="s">
        <v>40</v>
      </c>
      <c r="U49" s="31" t="s">
        <v>41</v>
      </c>
      <c r="V49" s="31"/>
      <c r="W49" s="23"/>
      <c r="X49" s="31"/>
      <c r="Y49" s="31"/>
    </row>
    <row r="50" outlineLevel="1">
      <c r="A50" s="66"/>
      <c r="B50" s="63" t="s">
        <v>224</v>
      </c>
      <c r="C50" s="64" t="s">
        <v>209</v>
      </c>
      <c r="D50" s="35">
        <v>100.0</v>
      </c>
      <c r="E50" s="35">
        <v>1.0</v>
      </c>
      <c r="F50" s="23" t="s">
        <v>58</v>
      </c>
      <c r="G50" s="22"/>
      <c r="H50" s="65"/>
      <c r="I50" s="38" t="s">
        <v>59</v>
      </c>
      <c r="J50" s="26" t="s">
        <v>225</v>
      </c>
      <c r="K50" s="36"/>
      <c r="L50" s="31"/>
      <c r="M50" s="31"/>
      <c r="N50" s="31"/>
      <c r="O50" s="31"/>
      <c r="P50" s="31" t="s">
        <v>40</v>
      </c>
      <c r="Q50" s="31" t="s">
        <v>41</v>
      </c>
      <c r="R50" s="31"/>
      <c r="S50" s="23"/>
      <c r="T50" s="31" t="s">
        <v>40</v>
      </c>
      <c r="U50" s="31" t="s">
        <v>41</v>
      </c>
      <c r="V50" s="31"/>
      <c r="W50" s="23"/>
      <c r="X50" s="31"/>
      <c r="Y50" s="31"/>
    </row>
    <row r="51" outlineLevel="1">
      <c r="A51" s="66"/>
      <c r="B51" s="63" t="s">
        <v>226</v>
      </c>
      <c r="C51" s="64" t="s">
        <v>209</v>
      </c>
      <c r="D51" s="35">
        <v>30.0</v>
      </c>
      <c r="E51" s="35">
        <v>1.0</v>
      </c>
      <c r="F51" s="23" t="s">
        <v>58</v>
      </c>
      <c r="G51" s="22"/>
      <c r="H51" s="65"/>
      <c r="I51" s="38" t="s">
        <v>59</v>
      </c>
      <c r="J51" s="26" t="s">
        <v>227</v>
      </c>
      <c r="K51" s="36"/>
      <c r="L51" s="31"/>
      <c r="M51" s="31"/>
      <c r="N51" s="31"/>
      <c r="O51" s="31"/>
      <c r="P51" s="31" t="s">
        <v>40</v>
      </c>
      <c r="Q51" s="31" t="s">
        <v>41</v>
      </c>
      <c r="R51" s="31"/>
      <c r="S51" s="23"/>
      <c r="T51" s="31" t="s">
        <v>40</v>
      </c>
      <c r="U51" s="31" t="s">
        <v>41</v>
      </c>
      <c r="V51" s="31"/>
      <c r="W51" s="23"/>
      <c r="X51" s="31"/>
      <c r="Y51" s="31"/>
    </row>
    <row r="52" outlineLevel="1">
      <c r="A52" s="66"/>
      <c r="B52" s="63" t="s">
        <v>228</v>
      </c>
      <c r="C52" s="64" t="s">
        <v>229</v>
      </c>
      <c r="D52" s="35">
        <v>2300.0</v>
      </c>
      <c r="E52" s="35">
        <v>6.0</v>
      </c>
      <c r="F52" s="23" t="s">
        <v>30</v>
      </c>
      <c r="G52" s="22"/>
      <c r="H52" s="65" t="s">
        <v>41</v>
      </c>
      <c r="I52" s="25" t="s">
        <v>32</v>
      </c>
      <c r="J52" s="67" t="s">
        <v>230</v>
      </c>
      <c r="K52" s="36" t="s">
        <v>40</v>
      </c>
      <c r="L52" s="31" t="s">
        <v>41</v>
      </c>
      <c r="M52" s="31" t="s">
        <v>40</v>
      </c>
      <c r="N52" s="31" t="s">
        <v>41</v>
      </c>
      <c r="O52" s="31" t="s">
        <v>22</v>
      </c>
      <c r="P52" s="31" t="s">
        <v>22</v>
      </c>
      <c r="Q52" s="23" t="s">
        <v>231</v>
      </c>
      <c r="R52" s="31" t="s">
        <v>22</v>
      </c>
      <c r="S52" s="23"/>
      <c r="T52" s="31" t="s">
        <v>22</v>
      </c>
      <c r="U52" s="31" t="s">
        <v>232</v>
      </c>
      <c r="V52" s="31" t="s">
        <v>22</v>
      </c>
      <c r="W52" s="23" t="s">
        <v>233</v>
      </c>
      <c r="X52" s="31" t="s">
        <v>22</v>
      </c>
      <c r="Y52" s="31" t="s">
        <v>234</v>
      </c>
    </row>
    <row r="53" outlineLevel="1">
      <c r="A53" s="66"/>
      <c r="B53" s="63" t="s">
        <v>235</v>
      </c>
      <c r="C53" s="64" t="s">
        <v>229</v>
      </c>
      <c r="D53" s="35">
        <v>150.0</v>
      </c>
      <c r="E53" s="35">
        <v>1.0</v>
      </c>
      <c r="F53" s="23" t="s">
        <v>58</v>
      </c>
      <c r="G53" s="22"/>
      <c r="H53" s="65"/>
      <c r="I53" s="38" t="s">
        <v>59</v>
      </c>
      <c r="J53" s="26"/>
      <c r="K53" s="36"/>
      <c r="L53" s="31"/>
      <c r="M53" s="31"/>
      <c r="N53" s="31"/>
      <c r="O53" s="31"/>
      <c r="P53" s="31" t="s">
        <v>40</v>
      </c>
      <c r="Q53" s="31" t="s">
        <v>41</v>
      </c>
      <c r="R53" s="31"/>
      <c r="S53" s="23"/>
      <c r="T53" s="31" t="s">
        <v>40</v>
      </c>
      <c r="U53" s="31" t="s">
        <v>41</v>
      </c>
      <c r="V53" s="31"/>
      <c r="W53" s="23"/>
      <c r="X53" s="31"/>
      <c r="Y53" s="31"/>
    </row>
    <row r="54" outlineLevel="1">
      <c r="A54" s="66"/>
      <c r="B54" s="63" t="s">
        <v>236</v>
      </c>
      <c r="C54" s="64" t="s">
        <v>229</v>
      </c>
      <c r="D54" s="35">
        <v>20.0</v>
      </c>
      <c r="E54" s="35">
        <v>1.0</v>
      </c>
      <c r="F54" s="23" t="s">
        <v>58</v>
      </c>
      <c r="G54" s="22"/>
      <c r="H54" s="65" t="s">
        <v>237</v>
      </c>
      <c r="I54" s="38"/>
      <c r="J54" s="26"/>
      <c r="K54" s="36"/>
      <c r="L54" s="31"/>
      <c r="M54" s="31"/>
      <c r="N54" s="31"/>
      <c r="O54" s="31"/>
      <c r="P54" s="31"/>
      <c r="Q54" s="31"/>
      <c r="R54" s="31"/>
      <c r="S54" s="23"/>
      <c r="T54" s="31"/>
      <c r="U54" s="31"/>
      <c r="V54" s="31"/>
      <c r="W54" s="23"/>
      <c r="X54" s="31"/>
      <c r="Y54" s="31"/>
    </row>
    <row r="55" outlineLevel="1">
      <c r="A55" s="66"/>
      <c r="B55" s="63" t="s">
        <v>238</v>
      </c>
      <c r="C55" s="64" t="s">
        <v>239</v>
      </c>
      <c r="D55" s="35">
        <v>40.0</v>
      </c>
      <c r="E55" s="35">
        <v>1.0</v>
      </c>
      <c r="F55" s="23" t="s">
        <v>58</v>
      </c>
      <c r="G55" s="22"/>
      <c r="H55" s="65"/>
      <c r="I55" s="38" t="s">
        <v>59</v>
      </c>
      <c r="J55" s="26" t="s">
        <v>240</v>
      </c>
      <c r="K55" s="36" t="s">
        <v>40</v>
      </c>
      <c r="L55" s="31" t="s">
        <v>41</v>
      </c>
      <c r="M55" s="31"/>
      <c r="N55" s="31"/>
      <c r="O55" s="31"/>
      <c r="P55" s="31" t="s">
        <v>40</v>
      </c>
      <c r="Q55" s="31" t="s">
        <v>41</v>
      </c>
      <c r="R55" s="31"/>
      <c r="S55" s="23"/>
      <c r="T55" s="31" t="s">
        <v>40</v>
      </c>
      <c r="U55" s="31" t="s">
        <v>41</v>
      </c>
      <c r="V55" s="31"/>
      <c r="W55" s="23"/>
      <c r="X55" s="31"/>
      <c r="Y55" s="31"/>
    </row>
    <row r="56" outlineLevel="1">
      <c r="A56" s="66"/>
      <c r="B56" s="63" t="s">
        <v>241</v>
      </c>
      <c r="C56" s="64" t="s">
        <v>242</v>
      </c>
      <c r="D56" s="35">
        <v>130.0</v>
      </c>
      <c r="E56" s="35">
        <v>1.0</v>
      </c>
      <c r="F56" s="23" t="s">
        <v>58</v>
      </c>
      <c r="G56" s="22" t="s">
        <v>18</v>
      </c>
      <c r="H56" s="65" t="s">
        <v>243</v>
      </c>
      <c r="I56" s="25" t="s">
        <v>59</v>
      </c>
      <c r="J56" s="67" t="s">
        <v>244</v>
      </c>
      <c r="K56" s="36" t="s">
        <v>40</v>
      </c>
      <c r="L56" s="31" t="s">
        <v>41</v>
      </c>
      <c r="M56" s="31" t="s">
        <v>40</v>
      </c>
      <c r="N56" s="31" t="s">
        <v>41</v>
      </c>
      <c r="O56" s="31" t="s">
        <v>40</v>
      </c>
      <c r="P56" s="31" t="s">
        <v>40</v>
      </c>
      <c r="Q56" s="23" t="s">
        <v>41</v>
      </c>
      <c r="R56" s="31" t="s">
        <v>40</v>
      </c>
      <c r="S56" s="23" t="s">
        <v>41</v>
      </c>
      <c r="T56" s="31" t="s">
        <v>40</v>
      </c>
      <c r="U56" s="31" t="s">
        <v>41</v>
      </c>
      <c r="V56" s="31" t="s">
        <v>40</v>
      </c>
      <c r="W56" s="23" t="s">
        <v>41</v>
      </c>
      <c r="X56" s="31" t="s">
        <v>40</v>
      </c>
      <c r="Y56" s="31" t="s">
        <v>41</v>
      </c>
    </row>
    <row r="57" outlineLevel="1">
      <c r="A57" s="66"/>
      <c r="B57" s="63" t="s">
        <v>183</v>
      </c>
      <c r="C57" s="64" t="s">
        <v>242</v>
      </c>
      <c r="D57" s="35">
        <v>40.0</v>
      </c>
      <c r="E57" s="35">
        <v>2.0</v>
      </c>
      <c r="F57" s="23" t="s">
        <v>58</v>
      </c>
      <c r="G57" s="22" t="s">
        <v>18</v>
      </c>
      <c r="H57" s="70" t="s">
        <v>245</v>
      </c>
      <c r="I57" s="25" t="s">
        <v>59</v>
      </c>
      <c r="J57" s="26" t="s">
        <v>246</v>
      </c>
      <c r="K57" s="36" t="s">
        <v>40</v>
      </c>
      <c r="L57" s="31" t="s">
        <v>41</v>
      </c>
      <c r="M57" s="31" t="s">
        <v>40</v>
      </c>
      <c r="N57" s="31" t="s">
        <v>41</v>
      </c>
      <c r="O57" s="31" t="s">
        <v>40</v>
      </c>
      <c r="P57" s="31" t="s">
        <v>40</v>
      </c>
      <c r="Q57" s="23" t="s">
        <v>41</v>
      </c>
      <c r="R57" s="31" t="s">
        <v>40</v>
      </c>
      <c r="S57" s="23" t="s">
        <v>41</v>
      </c>
      <c r="T57" s="31" t="s">
        <v>40</v>
      </c>
      <c r="U57" s="31" t="s">
        <v>41</v>
      </c>
      <c r="V57" s="31" t="s">
        <v>40</v>
      </c>
      <c r="W57" s="23" t="s">
        <v>41</v>
      </c>
      <c r="X57" s="31" t="s">
        <v>40</v>
      </c>
      <c r="Y57" s="31" t="s">
        <v>41</v>
      </c>
    </row>
    <row r="58" outlineLevel="1">
      <c r="A58" s="66"/>
      <c r="B58" s="63" t="s">
        <v>247</v>
      </c>
      <c r="C58" s="64" t="s">
        <v>248</v>
      </c>
      <c r="D58" s="35">
        <v>550.0</v>
      </c>
      <c r="E58" s="35">
        <v>1.0</v>
      </c>
      <c r="F58" s="23" t="s">
        <v>58</v>
      </c>
      <c r="G58" s="22" t="s">
        <v>18</v>
      </c>
      <c r="H58" s="70" t="s">
        <v>249</v>
      </c>
      <c r="I58" s="38" t="s">
        <v>96</v>
      </c>
      <c r="J58" s="26" t="s">
        <v>41</v>
      </c>
      <c r="K58" s="36" t="s">
        <v>22</v>
      </c>
      <c r="L58" s="31" t="s">
        <v>250</v>
      </c>
      <c r="M58" s="31"/>
      <c r="N58" s="31"/>
      <c r="O58" s="31"/>
      <c r="P58" s="31"/>
      <c r="Q58" s="23"/>
      <c r="R58" s="31"/>
      <c r="S58" s="23"/>
      <c r="T58" s="31" t="s">
        <v>40</v>
      </c>
      <c r="U58" s="31" t="s">
        <v>41</v>
      </c>
      <c r="V58" s="31"/>
      <c r="W58" s="23"/>
      <c r="X58" s="31"/>
      <c r="Y58" s="31"/>
    </row>
    <row r="59" outlineLevel="1">
      <c r="A59" s="66"/>
      <c r="B59" s="63" t="s">
        <v>251</v>
      </c>
      <c r="C59" s="64" t="s">
        <v>252</v>
      </c>
      <c r="D59" s="35">
        <v>220.0</v>
      </c>
      <c r="E59" s="35">
        <v>1.0</v>
      </c>
      <c r="F59" s="23" t="s">
        <v>58</v>
      </c>
      <c r="G59" s="22" t="s">
        <v>18</v>
      </c>
      <c r="H59" s="70" t="s">
        <v>253</v>
      </c>
      <c r="I59" s="38"/>
      <c r="J59" s="26"/>
      <c r="K59" s="36"/>
      <c r="L59" s="31"/>
      <c r="M59" s="31"/>
      <c r="N59" s="31"/>
      <c r="O59" s="31"/>
      <c r="P59" s="31"/>
      <c r="Q59" s="23"/>
      <c r="R59" s="31"/>
      <c r="S59" s="23"/>
      <c r="T59" s="31"/>
      <c r="U59" s="31"/>
      <c r="V59" s="31"/>
      <c r="W59" s="23"/>
      <c r="X59" s="31"/>
      <c r="Y59" s="31"/>
    </row>
    <row r="60" outlineLevel="1">
      <c r="A60" s="66"/>
      <c r="B60" s="63" t="s">
        <v>254</v>
      </c>
      <c r="C60" s="64" t="s">
        <v>255</v>
      </c>
      <c r="D60" s="35">
        <v>100.0</v>
      </c>
      <c r="E60" s="35">
        <v>1.0</v>
      </c>
      <c r="F60" s="23" t="s">
        <v>58</v>
      </c>
      <c r="G60" s="22" t="s">
        <v>127</v>
      </c>
      <c r="H60" s="70" t="s">
        <v>256</v>
      </c>
      <c r="I60" s="38" t="s">
        <v>59</v>
      </c>
      <c r="J60" s="26" t="s">
        <v>257</v>
      </c>
      <c r="K60" s="36"/>
      <c r="L60" s="31"/>
      <c r="M60" s="31"/>
      <c r="N60" s="31"/>
      <c r="O60" s="31"/>
      <c r="P60" s="31"/>
      <c r="Q60" s="23"/>
      <c r="R60" s="31"/>
      <c r="S60" s="23"/>
      <c r="T60" s="31" t="s">
        <v>40</v>
      </c>
      <c r="U60" s="31" t="s">
        <v>41</v>
      </c>
      <c r="V60" s="31"/>
      <c r="W60" s="23"/>
      <c r="X60" s="31"/>
      <c r="Y60" s="31"/>
    </row>
    <row r="61" outlineLevel="1">
      <c r="A61" s="66"/>
      <c r="B61" s="63" t="s">
        <v>258</v>
      </c>
      <c r="C61" s="64" t="s">
        <v>259</v>
      </c>
      <c r="D61" s="35">
        <v>50.0</v>
      </c>
      <c r="E61" s="35">
        <v>1.0</v>
      </c>
      <c r="F61" s="23" t="s">
        <v>58</v>
      </c>
      <c r="G61" s="22"/>
      <c r="H61" s="70" t="s">
        <v>41</v>
      </c>
      <c r="I61" s="38" t="s">
        <v>59</v>
      </c>
      <c r="J61" s="26" t="s">
        <v>260</v>
      </c>
      <c r="K61" s="36"/>
      <c r="L61" s="31"/>
      <c r="M61" s="31"/>
      <c r="N61" s="31"/>
      <c r="O61" s="31"/>
      <c r="P61" s="31"/>
      <c r="Q61" s="23"/>
      <c r="R61" s="31"/>
      <c r="S61" s="23"/>
      <c r="T61" s="31" t="s">
        <v>40</v>
      </c>
      <c r="U61" s="31" t="s">
        <v>41</v>
      </c>
      <c r="V61" s="31"/>
      <c r="W61" s="23"/>
      <c r="X61" s="31"/>
      <c r="Y61" s="31"/>
    </row>
    <row r="62" outlineLevel="1">
      <c r="A62" s="66"/>
      <c r="B62" s="63" t="s">
        <v>261</v>
      </c>
      <c r="C62" s="64" t="s">
        <v>262</v>
      </c>
      <c r="D62" s="35"/>
      <c r="E62" s="35"/>
      <c r="F62" s="23"/>
      <c r="G62" s="22"/>
      <c r="H62" s="70"/>
      <c r="I62" s="25"/>
      <c r="J62" s="67"/>
      <c r="K62" s="36"/>
      <c r="L62" s="31"/>
      <c r="M62" s="31"/>
      <c r="N62" s="31"/>
      <c r="O62" s="31"/>
      <c r="P62" s="31"/>
      <c r="Q62" s="23"/>
      <c r="R62" s="31"/>
      <c r="S62" s="23"/>
      <c r="T62" s="31" t="s">
        <v>40</v>
      </c>
      <c r="U62" s="31" t="s">
        <v>41</v>
      </c>
      <c r="V62" s="31"/>
      <c r="W62" s="23"/>
      <c r="X62" s="31"/>
      <c r="Y62" s="31"/>
    </row>
    <row r="63" outlineLevel="1">
      <c r="A63" s="66"/>
      <c r="B63" s="63" t="s">
        <v>263</v>
      </c>
      <c r="C63" s="64" t="s">
        <v>262</v>
      </c>
      <c r="D63" s="35"/>
      <c r="E63" s="35"/>
      <c r="F63" s="23"/>
      <c r="G63" s="22"/>
      <c r="H63" s="70"/>
      <c r="I63" s="25"/>
      <c r="J63" s="67"/>
      <c r="K63" s="36"/>
      <c r="L63" s="31"/>
      <c r="M63" s="31"/>
      <c r="N63" s="31"/>
      <c r="O63" s="31"/>
      <c r="P63" s="31"/>
      <c r="Q63" s="23"/>
      <c r="R63" s="31"/>
      <c r="S63" s="23"/>
      <c r="T63" s="31" t="s">
        <v>40</v>
      </c>
      <c r="U63" s="31" t="s">
        <v>41</v>
      </c>
      <c r="V63" s="31"/>
      <c r="W63" s="23"/>
      <c r="X63" s="31"/>
      <c r="Y63" s="31"/>
    </row>
    <row r="64" outlineLevel="1">
      <c r="A64" s="66"/>
      <c r="B64" s="63" t="s">
        <v>264</v>
      </c>
      <c r="C64" s="64" t="s">
        <v>265</v>
      </c>
      <c r="D64" s="35">
        <v>3500.0</v>
      </c>
      <c r="E64" s="35">
        <v>16.0</v>
      </c>
      <c r="F64" s="23" t="s">
        <v>30</v>
      </c>
      <c r="G64" s="22"/>
      <c r="H64" s="70" t="s">
        <v>41</v>
      </c>
      <c r="I64" s="25" t="s">
        <v>96</v>
      </c>
      <c r="J64" s="67" t="s">
        <v>41</v>
      </c>
      <c r="K64" s="36" t="s">
        <v>22</v>
      </c>
      <c r="L64" s="23" t="s">
        <v>266</v>
      </c>
      <c r="M64" s="31" t="s">
        <v>22</v>
      </c>
      <c r="N64" s="31" t="s">
        <v>267</v>
      </c>
      <c r="O64" s="31" t="s">
        <v>22</v>
      </c>
      <c r="P64" s="31" t="s">
        <v>22</v>
      </c>
      <c r="Q64" s="23" t="s">
        <v>268</v>
      </c>
      <c r="R64" s="31" t="s">
        <v>22</v>
      </c>
      <c r="S64" s="23" t="s">
        <v>269</v>
      </c>
      <c r="T64" s="31" t="s">
        <v>22</v>
      </c>
      <c r="U64" s="31" t="s">
        <v>270</v>
      </c>
      <c r="V64" s="31" t="s">
        <v>22</v>
      </c>
      <c r="W64" s="23" t="s">
        <v>266</v>
      </c>
      <c r="X64" s="31" t="s">
        <v>22</v>
      </c>
      <c r="Y64" s="31" t="s">
        <v>271</v>
      </c>
    </row>
    <row r="65" outlineLevel="1">
      <c r="A65" s="66"/>
      <c r="B65" s="63" t="s">
        <v>272</v>
      </c>
      <c r="C65" s="64" t="s">
        <v>273</v>
      </c>
      <c r="D65" s="35">
        <v>30.0</v>
      </c>
      <c r="E65" s="35">
        <v>1.0</v>
      </c>
      <c r="F65" s="23" t="s">
        <v>58</v>
      </c>
      <c r="G65" s="71"/>
      <c r="H65" s="70" t="s">
        <v>41</v>
      </c>
      <c r="I65" s="25" t="s">
        <v>59</v>
      </c>
      <c r="J65" s="72" t="s">
        <v>274</v>
      </c>
      <c r="K65" s="36"/>
      <c r="L65" s="31"/>
      <c r="M65" s="31"/>
      <c r="N65" s="31"/>
      <c r="O65" s="31"/>
      <c r="P65" s="31"/>
      <c r="Q65" s="23"/>
      <c r="R65" s="31"/>
      <c r="S65" s="23"/>
      <c r="T65" s="31" t="s">
        <v>40</v>
      </c>
      <c r="U65" s="31" t="s">
        <v>41</v>
      </c>
      <c r="V65" s="31"/>
      <c r="W65" s="23"/>
      <c r="X65" s="31"/>
      <c r="Y65" s="31"/>
    </row>
    <row r="66" outlineLevel="1">
      <c r="A66" s="66"/>
      <c r="B66" s="63" t="s">
        <v>275</v>
      </c>
      <c r="C66" s="64" t="s">
        <v>273</v>
      </c>
      <c r="D66" s="35">
        <v>100.0</v>
      </c>
      <c r="E66" s="35">
        <v>1.0</v>
      </c>
      <c r="F66" s="23" t="s">
        <v>58</v>
      </c>
      <c r="G66" s="71"/>
      <c r="H66" s="70" t="s">
        <v>41</v>
      </c>
      <c r="I66" s="25" t="s">
        <v>59</v>
      </c>
      <c r="J66" s="72" t="s">
        <v>276</v>
      </c>
      <c r="K66" s="36"/>
      <c r="L66" s="31"/>
      <c r="M66" s="31"/>
      <c r="N66" s="31"/>
      <c r="O66" s="31"/>
      <c r="P66" s="31"/>
      <c r="Q66" s="23"/>
      <c r="R66" s="31"/>
      <c r="S66" s="23"/>
      <c r="T66" s="31" t="s">
        <v>40</v>
      </c>
      <c r="U66" s="31" t="s">
        <v>41</v>
      </c>
      <c r="V66" s="31"/>
      <c r="W66" s="23"/>
      <c r="X66" s="31"/>
      <c r="Y66" s="31"/>
    </row>
    <row r="67" outlineLevel="1">
      <c r="A67" s="73"/>
      <c r="B67" s="63" t="s">
        <v>277</v>
      </c>
      <c r="C67" s="64" t="s">
        <v>273</v>
      </c>
      <c r="D67" s="35">
        <v>650.0</v>
      </c>
      <c r="E67" s="35">
        <v>3.0</v>
      </c>
      <c r="F67" s="23" t="s">
        <v>58</v>
      </c>
      <c r="G67" s="41"/>
      <c r="H67" s="74" t="s">
        <v>41</v>
      </c>
      <c r="I67" s="48" t="s">
        <v>32</v>
      </c>
      <c r="J67" s="75" t="s">
        <v>278</v>
      </c>
      <c r="K67" s="36" t="s">
        <v>40</v>
      </c>
      <c r="L67" s="31" t="s">
        <v>41</v>
      </c>
      <c r="M67" s="31" t="s">
        <v>22</v>
      </c>
      <c r="N67" s="31" t="s">
        <v>279</v>
      </c>
      <c r="O67" s="31" t="s">
        <v>40</v>
      </c>
      <c r="P67" s="31" t="s">
        <v>40</v>
      </c>
      <c r="Q67" s="31" t="s">
        <v>41</v>
      </c>
      <c r="R67" s="31" t="s">
        <v>40</v>
      </c>
      <c r="S67" s="23" t="s">
        <v>41</v>
      </c>
      <c r="T67" s="31" t="s">
        <v>40</v>
      </c>
      <c r="U67" s="31" t="s">
        <v>41</v>
      </c>
      <c r="V67" s="31" t="s">
        <v>40</v>
      </c>
      <c r="W67" s="23" t="s">
        <v>41</v>
      </c>
      <c r="X67" s="31" t="s">
        <v>40</v>
      </c>
      <c r="Y67" s="31" t="s">
        <v>41</v>
      </c>
    </row>
    <row r="68">
      <c r="A68" s="76" t="s">
        <v>149</v>
      </c>
      <c r="B68" s="5"/>
      <c r="C68" s="54"/>
      <c r="D68" s="77">
        <f t="shared" ref="D68:E68" si="3">SUM(D29:D67)</f>
        <v>70700</v>
      </c>
      <c r="E68" s="77">
        <f t="shared" si="3"/>
        <v>282</v>
      </c>
      <c r="F68" s="78"/>
      <c r="G68" s="78"/>
      <c r="H68" s="79"/>
      <c r="I68" s="80"/>
      <c r="J68" s="81"/>
      <c r="K68" s="79">
        <f>COUNTIF(K29:K67,"si")</f>
        <v>6</v>
      </c>
      <c r="L68" s="82"/>
      <c r="M68" s="79">
        <f>COUNTIF(M29:M67,"si")</f>
        <v>6</v>
      </c>
      <c r="N68" s="82"/>
      <c r="O68" s="79">
        <f t="shared" ref="O68:P68" si="4">COUNTIF(O29:O67,"si")</f>
        <v>7</v>
      </c>
      <c r="P68" s="79">
        <f t="shared" si="4"/>
        <v>7</v>
      </c>
      <c r="Q68" s="78"/>
      <c r="R68" s="79">
        <f>COUNTIF(R29:R67,"si")</f>
        <v>7</v>
      </c>
      <c r="S68" s="82"/>
      <c r="T68" s="79">
        <f>COUNTIF(T29:T67,"si")</f>
        <v>7</v>
      </c>
      <c r="U68" s="82"/>
      <c r="V68" s="79">
        <f>COUNTIF(V29:V67,"si")</f>
        <v>7</v>
      </c>
      <c r="W68" s="82"/>
      <c r="X68" s="79">
        <f>COUNTIF(X29:X67,"si")</f>
        <v>6</v>
      </c>
      <c r="Y68" s="82"/>
    </row>
    <row r="69" outlineLevel="1">
      <c r="A69" s="83" t="s">
        <v>280</v>
      </c>
      <c r="B69" s="84" t="s">
        <v>281</v>
      </c>
      <c r="C69" s="85" t="s">
        <v>281</v>
      </c>
      <c r="D69" s="21">
        <v>0.0</v>
      </c>
      <c r="E69" s="21">
        <v>0.0</v>
      </c>
      <c r="F69" s="22"/>
      <c r="G69" s="22" t="s">
        <v>282</v>
      </c>
      <c r="H69" s="31" t="s">
        <v>283</v>
      </c>
      <c r="I69" s="38" t="s">
        <v>32</v>
      </c>
      <c r="J69" s="31" t="s">
        <v>284</v>
      </c>
      <c r="K69" s="27" t="s">
        <v>22</v>
      </c>
      <c r="L69" s="28" t="s">
        <v>285</v>
      </c>
      <c r="M69" s="28" t="s">
        <v>40</v>
      </c>
      <c r="N69" s="28" t="s">
        <v>286</v>
      </c>
      <c r="O69" s="28"/>
      <c r="P69" s="28"/>
      <c r="Q69" s="29"/>
      <c r="R69" s="28"/>
      <c r="S69" s="23"/>
      <c r="T69" s="28" t="s">
        <v>22</v>
      </c>
      <c r="U69" s="31" t="s">
        <v>287</v>
      </c>
      <c r="V69" s="28"/>
      <c r="W69" s="23"/>
      <c r="X69" s="28"/>
      <c r="Y69" s="31"/>
    </row>
    <row r="70" outlineLevel="1">
      <c r="A70" s="66"/>
      <c r="B70" s="86" t="s">
        <v>288</v>
      </c>
      <c r="C70" s="85" t="s">
        <v>281</v>
      </c>
      <c r="D70" s="21">
        <v>70000.0</v>
      </c>
      <c r="E70" s="21">
        <v>113.0</v>
      </c>
      <c r="F70" s="22" t="s">
        <v>17</v>
      </c>
      <c r="G70" s="22"/>
      <c r="H70" s="65"/>
      <c r="I70" s="38" t="s">
        <v>32</v>
      </c>
      <c r="J70" s="31" t="s">
        <v>289</v>
      </c>
      <c r="K70" s="27" t="s">
        <v>22</v>
      </c>
      <c r="L70" s="28" t="s">
        <v>290</v>
      </c>
      <c r="M70" s="28" t="s">
        <v>40</v>
      </c>
      <c r="N70" s="28"/>
      <c r="O70" s="28" t="s">
        <v>22</v>
      </c>
      <c r="P70" s="28" t="s">
        <v>22</v>
      </c>
      <c r="Q70" s="29" t="s">
        <v>291</v>
      </c>
      <c r="R70" s="28" t="s">
        <v>22</v>
      </c>
      <c r="S70" s="23" t="s">
        <v>292</v>
      </c>
      <c r="T70" s="28" t="s">
        <v>22</v>
      </c>
      <c r="U70" s="31" t="s">
        <v>293</v>
      </c>
      <c r="V70" s="28" t="s">
        <v>22</v>
      </c>
      <c r="W70" s="23" t="s">
        <v>294</v>
      </c>
      <c r="X70" s="28" t="s">
        <v>22</v>
      </c>
      <c r="Y70" s="31" t="s">
        <v>289</v>
      </c>
    </row>
    <row r="71" outlineLevel="1">
      <c r="A71" s="66"/>
      <c r="B71" s="87" t="s">
        <v>295</v>
      </c>
      <c r="C71" s="88" t="s">
        <v>281</v>
      </c>
      <c r="D71" s="35">
        <v>12000.0</v>
      </c>
      <c r="E71" s="21">
        <v>5.0</v>
      </c>
      <c r="F71" s="22" t="s">
        <v>17</v>
      </c>
      <c r="G71" s="22"/>
      <c r="H71" s="65"/>
      <c r="I71" s="25" t="s">
        <v>32</v>
      </c>
      <c r="J71" s="67" t="s">
        <v>296</v>
      </c>
      <c r="K71" s="36" t="s">
        <v>22</v>
      </c>
      <c r="L71" s="31" t="s">
        <v>297</v>
      </c>
      <c r="M71" s="31" t="s">
        <v>22</v>
      </c>
      <c r="N71" s="31" t="s">
        <v>298</v>
      </c>
      <c r="O71" s="31" t="s">
        <v>22</v>
      </c>
      <c r="P71" s="28" t="s">
        <v>22</v>
      </c>
      <c r="Q71" s="23" t="s">
        <v>299</v>
      </c>
      <c r="R71" s="28" t="s">
        <v>22</v>
      </c>
      <c r="S71" s="23" t="s">
        <v>300</v>
      </c>
      <c r="T71" s="28" t="s">
        <v>22</v>
      </c>
      <c r="U71" s="31" t="s">
        <v>301</v>
      </c>
      <c r="V71" s="28" t="s">
        <v>22</v>
      </c>
      <c r="W71" s="23" t="s">
        <v>302</v>
      </c>
      <c r="X71" s="28" t="s">
        <v>22</v>
      </c>
      <c r="Y71" s="31" t="s">
        <v>303</v>
      </c>
    </row>
    <row r="72" outlineLevel="1">
      <c r="A72" s="66"/>
      <c r="B72" s="87" t="s">
        <v>304</v>
      </c>
      <c r="C72" s="88" t="s">
        <v>281</v>
      </c>
      <c r="D72" s="21">
        <v>25000.0</v>
      </c>
      <c r="E72" s="21">
        <v>63.0</v>
      </c>
      <c r="F72" s="22" t="s">
        <v>17</v>
      </c>
      <c r="G72" s="22"/>
      <c r="H72" s="65"/>
      <c r="I72" s="25" t="s">
        <v>32</v>
      </c>
      <c r="J72" s="26" t="s">
        <v>305</v>
      </c>
      <c r="K72" s="27" t="s">
        <v>22</v>
      </c>
      <c r="L72" s="65" t="s">
        <v>305</v>
      </c>
      <c r="M72" s="28" t="s">
        <v>22</v>
      </c>
      <c r="N72" s="29" t="s">
        <v>306</v>
      </c>
      <c r="O72" s="31" t="s">
        <v>22</v>
      </c>
      <c r="P72" s="28" t="s">
        <v>22</v>
      </c>
      <c r="Q72" s="29" t="s">
        <v>307</v>
      </c>
      <c r="R72" s="28" t="s">
        <v>40</v>
      </c>
      <c r="S72" s="31" t="s">
        <v>41</v>
      </c>
      <c r="T72" s="28" t="s">
        <v>22</v>
      </c>
      <c r="U72" s="31" t="s">
        <v>308</v>
      </c>
      <c r="V72" s="28" t="s">
        <v>40</v>
      </c>
      <c r="W72" s="31" t="s">
        <v>41</v>
      </c>
      <c r="X72" s="28" t="s">
        <v>40</v>
      </c>
      <c r="Y72" s="31" t="s">
        <v>41</v>
      </c>
    </row>
    <row r="73" outlineLevel="1">
      <c r="A73" s="66"/>
      <c r="B73" s="87" t="s">
        <v>309</v>
      </c>
      <c r="C73" s="88" t="s">
        <v>281</v>
      </c>
      <c r="D73" s="35">
        <v>2400.0</v>
      </c>
      <c r="E73" s="35">
        <v>2.0</v>
      </c>
      <c r="F73" s="23" t="s">
        <v>30</v>
      </c>
      <c r="G73" s="22"/>
      <c r="H73" s="65"/>
      <c r="I73" s="25" t="s">
        <v>20</v>
      </c>
      <c r="J73" s="67" t="s">
        <v>310</v>
      </c>
      <c r="K73" s="36" t="s">
        <v>22</v>
      </c>
      <c r="L73" s="31" t="s">
        <v>311</v>
      </c>
      <c r="M73" s="28" t="s">
        <v>22</v>
      </c>
      <c r="N73" s="31" t="s">
        <v>312</v>
      </c>
      <c r="O73" s="31" t="s">
        <v>22</v>
      </c>
      <c r="P73" s="28" t="s">
        <v>22</v>
      </c>
      <c r="Q73" s="23" t="s">
        <v>313</v>
      </c>
      <c r="R73" s="28" t="s">
        <v>22</v>
      </c>
      <c r="S73" s="31"/>
      <c r="T73" s="28" t="s">
        <v>22</v>
      </c>
      <c r="U73" s="31" t="s">
        <v>314</v>
      </c>
      <c r="V73" s="28" t="s">
        <v>22</v>
      </c>
      <c r="W73" s="23" t="s">
        <v>315</v>
      </c>
      <c r="X73" s="28" t="s">
        <v>22</v>
      </c>
      <c r="Y73" s="31" t="s">
        <v>316</v>
      </c>
    </row>
    <row r="74" outlineLevel="1">
      <c r="A74" s="66"/>
      <c r="B74" s="87" t="s">
        <v>317</v>
      </c>
      <c r="C74" s="88" t="s">
        <v>281</v>
      </c>
      <c r="D74" s="35">
        <v>2400.0</v>
      </c>
      <c r="E74" s="35">
        <v>5.0</v>
      </c>
      <c r="F74" s="23" t="s">
        <v>30</v>
      </c>
      <c r="G74" s="22"/>
      <c r="H74" s="65"/>
      <c r="I74" s="25" t="s">
        <v>20</v>
      </c>
      <c r="J74" s="67" t="s">
        <v>318</v>
      </c>
      <c r="K74" s="36" t="s">
        <v>22</v>
      </c>
      <c r="L74" s="31" t="s">
        <v>319</v>
      </c>
      <c r="M74" s="28" t="s">
        <v>22</v>
      </c>
      <c r="N74" s="31" t="s">
        <v>320</v>
      </c>
      <c r="O74" s="31" t="s">
        <v>40</v>
      </c>
      <c r="P74" s="28" t="s">
        <v>22</v>
      </c>
      <c r="Q74" s="23" t="s">
        <v>321</v>
      </c>
      <c r="R74" s="28" t="s">
        <v>40</v>
      </c>
      <c r="S74" s="31" t="s">
        <v>41</v>
      </c>
      <c r="T74" s="28" t="s">
        <v>22</v>
      </c>
      <c r="U74" s="31" t="s">
        <v>322</v>
      </c>
      <c r="V74" s="28" t="s">
        <v>40</v>
      </c>
      <c r="W74" s="31" t="s">
        <v>41</v>
      </c>
      <c r="X74" s="28" t="s">
        <v>40</v>
      </c>
      <c r="Y74" s="31" t="s">
        <v>41</v>
      </c>
    </row>
    <row r="75" outlineLevel="1">
      <c r="A75" s="66"/>
      <c r="B75" s="87" t="s">
        <v>323</v>
      </c>
      <c r="C75" s="88" t="s">
        <v>281</v>
      </c>
      <c r="D75" s="21">
        <v>600.0</v>
      </c>
      <c r="E75" s="21">
        <v>2.0</v>
      </c>
      <c r="F75" s="23" t="s">
        <v>58</v>
      </c>
      <c r="G75" s="23"/>
      <c r="H75" s="65"/>
      <c r="I75" s="25" t="s">
        <v>59</v>
      </c>
      <c r="J75" s="67" t="s">
        <v>324</v>
      </c>
      <c r="K75" s="36" t="s">
        <v>40</v>
      </c>
      <c r="L75" s="31" t="s">
        <v>41</v>
      </c>
      <c r="M75" s="31" t="s">
        <v>40</v>
      </c>
      <c r="N75" s="31" t="s">
        <v>41</v>
      </c>
      <c r="O75" s="31" t="s">
        <v>40</v>
      </c>
      <c r="P75" s="31" t="s">
        <v>22</v>
      </c>
      <c r="Q75" s="31" t="s">
        <v>324</v>
      </c>
      <c r="R75" s="28" t="s">
        <v>40</v>
      </c>
      <c r="S75" s="31" t="s">
        <v>41</v>
      </c>
      <c r="T75" s="28" t="s">
        <v>40</v>
      </c>
      <c r="U75" s="31" t="s">
        <v>41</v>
      </c>
      <c r="V75" s="28" t="s">
        <v>40</v>
      </c>
      <c r="W75" s="31" t="s">
        <v>41</v>
      </c>
      <c r="X75" s="28" t="s">
        <v>40</v>
      </c>
      <c r="Y75" s="31" t="s">
        <v>41</v>
      </c>
    </row>
    <row r="76" outlineLevel="1">
      <c r="A76" s="66"/>
      <c r="B76" s="87" t="s">
        <v>325</v>
      </c>
      <c r="C76" s="88" t="s">
        <v>281</v>
      </c>
      <c r="D76" s="35">
        <v>105.0</v>
      </c>
      <c r="E76" s="35">
        <v>1.0</v>
      </c>
      <c r="F76" s="23" t="s">
        <v>58</v>
      </c>
      <c r="G76" s="23"/>
      <c r="H76" s="65"/>
      <c r="I76" s="25" t="s">
        <v>59</v>
      </c>
      <c r="J76" s="67" t="s">
        <v>326</v>
      </c>
      <c r="K76" s="36" t="s">
        <v>22</v>
      </c>
      <c r="L76" s="65" t="s">
        <v>327</v>
      </c>
      <c r="M76" s="31" t="s">
        <v>40</v>
      </c>
      <c r="N76" s="31" t="s">
        <v>41</v>
      </c>
      <c r="O76" s="31" t="s">
        <v>40</v>
      </c>
      <c r="P76" s="31" t="s">
        <v>22</v>
      </c>
      <c r="Q76" s="23" t="s">
        <v>326</v>
      </c>
      <c r="R76" s="28" t="s">
        <v>40</v>
      </c>
      <c r="S76" s="23" t="s">
        <v>41</v>
      </c>
      <c r="T76" s="28" t="s">
        <v>22</v>
      </c>
      <c r="U76" s="31" t="s">
        <v>328</v>
      </c>
      <c r="V76" s="28" t="s">
        <v>40</v>
      </c>
      <c r="W76" s="31" t="s">
        <v>41</v>
      </c>
      <c r="X76" s="28" t="s">
        <v>40</v>
      </c>
      <c r="Y76" s="31" t="s">
        <v>41</v>
      </c>
    </row>
    <row r="77" outlineLevel="1">
      <c r="A77" s="66"/>
      <c r="B77" s="87" t="s">
        <v>329</v>
      </c>
      <c r="C77" s="88" t="s">
        <v>281</v>
      </c>
      <c r="D77" s="35">
        <v>1200.0</v>
      </c>
      <c r="E77" s="35">
        <v>3.0</v>
      </c>
      <c r="F77" s="23" t="s">
        <v>30</v>
      </c>
      <c r="G77" s="23"/>
      <c r="H77" s="65"/>
      <c r="I77" s="25" t="s">
        <v>20</v>
      </c>
      <c r="J77" s="67" t="s">
        <v>330</v>
      </c>
      <c r="K77" s="36" t="s">
        <v>22</v>
      </c>
      <c r="L77" s="31" t="s">
        <v>331</v>
      </c>
      <c r="M77" s="31" t="s">
        <v>40</v>
      </c>
      <c r="N77" s="31" t="s">
        <v>41</v>
      </c>
      <c r="O77" s="31" t="s">
        <v>40</v>
      </c>
      <c r="P77" s="31" t="s">
        <v>22</v>
      </c>
      <c r="Q77" s="23" t="s">
        <v>332</v>
      </c>
      <c r="R77" s="28" t="s">
        <v>40</v>
      </c>
      <c r="S77" s="31" t="s">
        <v>41</v>
      </c>
      <c r="T77" s="28" t="s">
        <v>40</v>
      </c>
      <c r="U77" s="31" t="s">
        <v>41</v>
      </c>
      <c r="V77" s="28" t="s">
        <v>40</v>
      </c>
      <c r="W77" s="31" t="s">
        <v>41</v>
      </c>
      <c r="X77" s="28" t="s">
        <v>40</v>
      </c>
      <c r="Y77" s="31" t="s">
        <v>41</v>
      </c>
    </row>
    <row r="78" outlineLevel="1">
      <c r="A78" s="66"/>
      <c r="B78" s="87" t="s">
        <v>333</v>
      </c>
      <c r="C78" s="88" t="s">
        <v>281</v>
      </c>
      <c r="D78" s="35">
        <v>426.0</v>
      </c>
      <c r="E78" s="35">
        <v>1.0</v>
      </c>
      <c r="F78" s="23" t="s">
        <v>58</v>
      </c>
      <c r="G78" s="23"/>
      <c r="H78" s="65"/>
      <c r="I78" s="25" t="s">
        <v>20</v>
      </c>
      <c r="J78" s="67" t="s">
        <v>334</v>
      </c>
      <c r="K78" s="36" t="s">
        <v>40</v>
      </c>
      <c r="L78" s="31" t="s">
        <v>41</v>
      </c>
      <c r="M78" s="31" t="s">
        <v>40</v>
      </c>
      <c r="N78" s="31" t="s">
        <v>41</v>
      </c>
      <c r="O78" s="31" t="s">
        <v>40</v>
      </c>
      <c r="P78" s="28" t="s">
        <v>40</v>
      </c>
      <c r="Q78" s="31" t="s">
        <v>41</v>
      </c>
      <c r="R78" s="28" t="s">
        <v>40</v>
      </c>
      <c r="S78" s="31" t="s">
        <v>41</v>
      </c>
      <c r="T78" s="28" t="s">
        <v>40</v>
      </c>
      <c r="U78" s="31" t="s">
        <v>41</v>
      </c>
      <c r="V78" s="28" t="s">
        <v>40</v>
      </c>
      <c r="W78" s="31" t="s">
        <v>41</v>
      </c>
      <c r="X78" s="28" t="s">
        <v>40</v>
      </c>
      <c r="Y78" s="31" t="s">
        <v>41</v>
      </c>
    </row>
    <row r="79" outlineLevel="1">
      <c r="A79" s="66"/>
      <c r="B79" s="87" t="s">
        <v>335</v>
      </c>
      <c r="C79" s="88" t="s">
        <v>281</v>
      </c>
      <c r="D79" s="35">
        <v>57.0</v>
      </c>
      <c r="E79" s="35">
        <v>1.0</v>
      </c>
      <c r="F79" s="23" t="s">
        <v>58</v>
      </c>
      <c r="G79" s="23"/>
      <c r="H79" s="65"/>
      <c r="I79" s="25" t="s">
        <v>20</v>
      </c>
      <c r="J79" s="67" t="s">
        <v>336</v>
      </c>
      <c r="K79" s="36" t="s">
        <v>40</v>
      </c>
      <c r="L79" s="31" t="s">
        <v>41</v>
      </c>
      <c r="M79" s="31" t="s">
        <v>40</v>
      </c>
      <c r="N79" s="31" t="s">
        <v>41</v>
      </c>
      <c r="O79" s="31" t="s">
        <v>40</v>
      </c>
      <c r="P79" s="28" t="s">
        <v>40</v>
      </c>
      <c r="Q79" s="31" t="s">
        <v>41</v>
      </c>
      <c r="R79" s="28" t="s">
        <v>40</v>
      </c>
      <c r="S79" s="31" t="s">
        <v>41</v>
      </c>
      <c r="T79" s="28" t="s">
        <v>40</v>
      </c>
      <c r="U79" s="31" t="s">
        <v>41</v>
      </c>
      <c r="V79" s="28" t="s">
        <v>40</v>
      </c>
      <c r="W79" s="31" t="s">
        <v>41</v>
      </c>
      <c r="X79" s="28" t="s">
        <v>40</v>
      </c>
      <c r="Y79" s="31" t="s">
        <v>41</v>
      </c>
    </row>
    <row r="80" outlineLevel="1">
      <c r="A80" s="66"/>
      <c r="B80" s="87" t="s">
        <v>337</v>
      </c>
      <c r="C80" s="88" t="s">
        <v>281</v>
      </c>
      <c r="D80" s="35">
        <v>186.0</v>
      </c>
      <c r="E80" s="35">
        <v>1.0</v>
      </c>
      <c r="F80" s="23" t="s">
        <v>58</v>
      </c>
      <c r="G80" s="23"/>
      <c r="H80" s="24"/>
      <c r="I80" s="25" t="s">
        <v>20</v>
      </c>
      <c r="J80" s="67" t="s">
        <v>338</v>
      </c>
      <c r="K80" s="36" t="s">
        <v>40</v>
      </c>
      <c r="L80" s="31" t="s">
        <v>41</v>
      </c>
      <c r="M80" s="31" t="s">
        <v>40</v>
      </c>
      <c r="N80" s="31" t="s">
        <v>41</v>
      </c>
      <c r="O80" s="31" t="s">
        <v>40</v>
      </c>
      <c r="P80" s="28" t="s">
        <v>40</v>
      </c>
      <c r="Q80" s="31" t="s">
        <v>41</v>
      </c>
      <c r="R80" s="28" t="s">
        <v>40</v>
      </c>
      <c r="S80" s="31" t="s">
        <v>41</v>
      </c>
      <c r="T80" s="28" t="s">
        <v>40</v>
      </c>
      <c r="U80" s="31" t="s">
        <v>41</v>
      </c>
      <c r="V80" s="28" t="s">
        <v>40</v>
      </c>
      <c r="W80" s="31" t="s">
        <v>41</v>
      </c>
      <c r="X80" s="28" t="s">
        <v>40</v>
      </c>
      <c r="Y80" s="31" t="s">
        <v>41</v>
      </c>
    </row>
    <row r="81" outlineLevel="1">
      <c r="A81" s="66"/>
      <c r="B81" s="87" t="s">
        <v>339</v>
      </c>
      <c r="C81" s="88" t="s">
        <v>281</v>
      </c>
      <c r="D81" s="35">
        <v>100.0</v>
      </c>
      <c r="E81" s="35">
        <v>0.0</v>
      </c>
      <c r="F81" s="23" t="s">
        <v>58</v>
      </c>
      <c r="G81" s="23"/>
      <c r="H81" s="24"/>
      <c r="I81" s="25" t="s">
        <v>59</v>
      </c>
      <c r="J81" s="67" t="s">
        <v>340</v>
      </c>
      <c r="K81" s="36" t="s">
        <v>40</v>
      </c>
      <c r="L81" s="31" t="s">
        <v>41</v>
      </c>
      <c r="M81" s="31" t="s">
        <v>40</v>
      </c>
      <c r="N81" s="31" t="s">
        <v>41</v>
      </c>
      <c r="O81" s="31" t="s">
        <v>40</v>
      </c>
      <c r="P81" s="28" t="s">
        <v>40</v>
      </c>
      <c r="Q81" s="31" t="s">
        <v>41</v>
      </c>
      <c r="R81" s="28" t="s">
        <v>40</v>
      </c>
      <c r="S81" s="31" t="s">
        <v>41</v>
      </c>
      <c r="T81" s="28" t="s">
        <v>40</v>
      </c>
      <c r="U81" s="31" t="s">
        <v>41</v>
      </c>
      <c r="V81" s="28" t="s">
        <v>40</v>
      </c>
      <c r="W81" s="31" t="s">
        <v>41</v>
      </c>
      <c r="X81" s="28" t="s">
        <v>40</v>
      </c>
      <c r="Y81" s="31" t="s">
        <v>41</v>
      </c>
    </row>
    <row r="82" outlineLevel="1">
      <c r="A82" s="66"/>
      <c r="B82" s="87" t="s">
        <v>341</v>
      </c>
      <c r="C82" s="88" t="s">
        <v>281</v>
      </c>
      <c r="D82" s="35">
        <v>15.0</v>
      </c>
      <c r="E82" s="35">
        <v>1.0</v>
      </c>
      <c r="F82" s="23" t="s">
        <v>58</v>
      </c>
      <c r="G82" s="23"/>
      <c r="H82" s="24"/>
      <c r="I82" s="25" t="s">
        <v>96</v>
      </c>
      <c r="J82" s="67" t="s">
        <v>41</v>
      </c>
      <c r="K82" s="36" t="s">
        <v>40</v>
      </c>
      <c r="L82" s="31" t="s">
        <v>41</v>
      </c>
      <c r="M82" s="31" t="s">
        <v>40</v>
      </c>
      <c r="N82" s="31" t="s">
        <v>41</v>
      </c>
      <c r="O82" s="31" t="s">
        <v>40</v>
      </c>
      <c r="P82" s="28" t="s">
        <v>40</v>
      </c>
      <c r="Q82" s="31" t="s">
        <v>41</v>
      </c>
      <c r="R82" s="28" t="s">
        <v>40</v>
      </c>
      <c r="S82" s="31" t="s">
        <v>41</v>
      </c>
      <c r="T82" s="28" t="s">
        <v>40</v>
      </c>
      <c r="U82" s="31" t="s">
        <v>41</v>
      </c>
      <c r="V82" s="28" t="s">
        <v>40</v>
      </c>
      <c r="W82" s="31" t="s">
        <v>41</v>
      </c>
      <c r="X82" s="28" t="s">
        <v>40</v>
      </c>
      <c r="Y82" s="31" t="s">
        <v>41</v>
      </c>
    </row>
    <row r="83" outlineLevel="1">
      <c r="A83" s="66"/>
      <c r="B83" s="87" t="s">
        <v>342</v>
      </c>
      <c r="C83" s="88" t="s">
        <v>281</v>
      </c>
      <c r="D83" s="35">
        <v>2400.0</v>
      </c>
      <c r="E83" s="35">
        <v>1.0</v>
      </c>
      <c r="F83" s="23" t="s">
        <v>30</v>
      </c>
      <c r="G83" s="23"/>
      <c r="H83" s="24"/>
      <c r="I83" s="25" t="s">
        <v>59</v>
      </c>
      <c r="J83" s="67" t="s">
        <v>343</v>
      </c>
      <c r="K83" s="36" t="s">
        <v>40</v>
      </c>
      <c r="L83" s="31" t="s">
        <v>41</v>
      </c>
      <c r="M83" s="31" t="s">
        <v>22</v>
      </c>
      <c r="N83" s="31" t="s">
        <v>344</v>
      </c>
      <c r="O83" s="31" t="s">
        <v>40</v>
      </c>
      <c r="P83" s="31" t="s">
        <v>22</v>
      </c>
      <c r="Q83" s="23" t="s">
        <v>343</v>
      </c>
      <c r="R83" s="28" t="s">
        <v>40</v>
      </c>
      <c r="S83" s="31" t="s">
        <v>41</v>
      </c>
      <c r="T83" s="28" t="s">
        <v>40</v>
      </c>
      <c r="U83" s="31" t="s">
        <v>41</v>
      </c>
      <c r="V83" s="28" t="s">
        <v>40</v>
      </c>
      <c r="W83" s="31" t="s">
        <v>41</v>
      </c>
      <c r="X83" s="28" t="s">
        <v>40</v>
      </c>
      <c r="Y83" s="31" t="s">
        <v>41</v>
      </c>
    </row>
    <row r="84" outlineLevel="1">
      <c r="A84" s="66"/>
      <c r="B84" s="87" t="s">
        <v>345</v>
      </c>
      <c r="C84" s="88" t="s">
        <v>281</v>
      </c>
      <c r="D84" s="35">
        <v>1000.0</v>
      </c>
      <c r="E84" s="35">
        <v>2.0</v>
      </c>
      <c r="F84" s="23" t="s">
        <v>58</v>
      </c>
      <c r="G84" s="23"/>
      <c r="H84" s="24"/>
      <c r="I84" s="25" t="s">
        <v>59</v>
      </c>
      <c r="J84" s="67" t="s">
        <v>346</v>
      </c>
      <c r="K84" s="36" t="s">
        <v>40</v>
      </c>
      <c r="L84" s="31"/>
      <c r="M84" s="31" t="s">
        <v>40</v>
      </c>
      <c r="N84" s="31" t="s">
        <v>41</v>
      </c>
      <c r="O84" s="31" t="s">
        <v>40</v>
      </c>
      <c r="P84" s="28" t="s">
        <v>40</v>
      </c>
      <c r="Q84" s="31" t="s">
        <v>41</v>
      </c>
      <c r="R84" s="28" t="s">
        <v>40</v>
      </c>
      <c r="S84" s="31" t="s">
        <v>41</v>
      </c>
      <c r="T84" s="28" t="s">
        <v>40</v>
      </c>
      <c r="U84" s="31" t="s">
        <v>41</v>
      </c>
      <c r="V84" s="28" t="s">
        <v>40</v>
      </c>
      <c r="W84" s="31" t="s">
        <v>41</v>
      </c>
      <c r="X84" s="28" t="s">
        <v>40</v>
      </c>
      <c r="Y84" s="31" t="s">
        <v>41</v>
      </c>
    </row>
    <row r="85" outlineLevel="1">
      <c r="A85" s="73"/>
      <c r="B85" s="89" t="s">
        <v>347</v>
      </c>
      <c r="C85" s="90" t="s">
        <v>281</v>
      </c>
      <c r="D85" s="35">
        <v>1200.0</v>
      </c>
      <c r="E85" s="35">
        <v>4.0</v>
      </c>
      <c r="F85" s="23" t="s">
        <v>30</v>
      </c>
      <c r="G85" s="41"/>
      <c r="H85" s="45"/>
      <c r="I85" s="48" t="s">
        <v>59</v>
      </c>
      <c r="J85" s="75" t="s">
        <v>348</v>
      </c>
      <c r="K85" s="36" t="s">
        <v>22</v>
      </c>
      <c r="L85" s="31" t="s">
        <v>349</v>
      </c>
      <c r="M85" s="31" t="s">
        <v>40</v>
      </c>
      <c r="N85" s="31" t="s">
        <v>41</v>
      </c>
      <c r="O85" s="31" t="s">
        <v>40</v>
      </c>
      <c r="P85" s="31" t="s">
        <v>22</v>
      </c>
      <c r="Q85" s="31" t="s">
        <v>348</v>
      </c>
      <c r="R85" s="28" t="s">
        <v>40</v>
      </c>
      <c r="S85" s="31" t="s">
        <v>41</v>
      </c>
      <c r="T85" s="28" t="s">
        <v>40</v>
      </c>
      <c r="U85" s="31" t="s">
        <v>41</v>
      </c>
      <c r="V85" s="28" t="s">
        <v>40</v>
      </c>
      <c r="W85" s="31" t="s">
        <v>41</v>
      </c>
      <c r="X85" s="28" t="s">
        <v>40</v>
      </c>
      <c r="Y85" s="31" t="s">
        <v>41</v>
      </c>
    </row>
    <row r="86">
      <c r="A86" s="91" t="s">
        <v>149</v>
      </c>
      <c r="C86" s="92"/>
      <c r="D86" s="93">
        <f t="shared" ref="D86:E86" si="5">SUM(D70:D85)</f>
        <v>119089</v>
      </c>
      <c r="E86" s="93">
        <f t="shared" si="5"/>
        <v>205</v>
      </c>
      <c r="F86" s="94"/>
      <c r="G86" s="95"/>
      <c r="H86" s="96"/>
      <c r="I86" s="95"/>
      <c r="J86" s="97"/>
      <c r="K86" s="98">
        <f>COUNTIF(K70:K85,"si")</f>
        <v>8</v>
      </c>
      <c r="L86" s="99"/>
      <c r="M86" s="98">
        <f>COUNTIF(M70:M85,"si")</f>
        <v>5</v>
      </c>
      <c r="N86" s="94"/>
      <c r="O86" s="98">
        <f t="shared" ref="O86:P86" si="6">COUNTIF(O70:O85,"si")</f>
        <v>4</v>
      </c>
      <c r="P86" s="98">
        <f t="shared" si="6"/>
        <v>10</v>
      </c>
      <c r="Q86" s="94"/>
      <c r="R86" s="98">
        <f>COUNTIF(R70:R85,"si")</f>
        <v>3</v>
      </c>
      <c r="S86" s="94"/>
      <c r="T86" s="98">
        <f>COUNTIF(T70:T85,"si")</f>
        <v>6</v>
      </c>
      <c r="U86" s="94"/>
      <c r="V86" s="98">
        <f>COUNTIF(V70:V85,"si")</f>
        <v>3</v>
      </c>
      <c r="W86" s="94"/>
      <c r="X86" s="98">
        <f>COUNTIF(X70:X85,"si")</f>
        <v>3</v>
      </c>
      <c r="Y86" s="99"/>
    </row>
    <row r="87" ht="14.25" customHeight="1">
      <c r="A87" s="100" t="s">
        <v>350</v>
      </c>
      <c r="B87" s="5"/>
      <c r="C87" s="7"/>
      <c r="D87" s="101">
        <f t="shared" ref="D87:E87" si="7">SUM(D28,D68,D86)</f>
        <v>435939</v>
      </c>
      <c r="E87" s="101">
        <f t="shared" si="7"/>
        <v>842</v>
      </c>
      <c r="F87" s="102"/>
      <c r="G87" s="102"/>
      <c r="H87" s="103"/>
      <c r="I87" s="104"/>
      <c r="J87" s="104"/>
      <c r="K87" s="102">
        <f>SUM(K28,K68,K86)</f>
        <v>35</v>
      </c>
      <c r="L87" s="102"/>
      <c r="M87" s="102">
        <f>SUM(M28,M68,M86)</f>
        <v>24</v>
      </c>
      <c r="N87" s="102"/>
      <c r="O87" s="102">
        <f t="shared" ref="O87:P87" si="8">SUM(O28,O68,O86)</f>
        <v>25</v>
      </c>
      <c r="P87" s="102">
        <f t="shared" si="8"/>
        <v>30</v>
      </c>
      <c r="Q87" s="102"/>
      <c r="R87" s="102">
        <f>SUM(R28,R68,R86)</f>
        <v>19</v>
      </c>
      <c r="S87" s="102"/>
      <c r="T87" s="102">
        <f>SUM(T28,T68,T86)</f>
        <v>24</v>
      </c>
      <c r="U87" s="102"/>
      <c r="V87" s="102">
        <f>SUM(V28,V68,V86)</f>
        <v>19</v>
      </c>
      <c r="W87" s="102"/>
      <c r="X87" s="102">
        <f>SUM(X28,X68,X86)</f>
        <v>17</v>
      </c>
      <c r="Y87" s="105"/>
      <c r="Z87" s="106"/>
    </row>
    <row r="88" ht="2.25" customHeight="1">
      <c r="A88" s="107"/>
      <c r="B88" s="107"/>
      <c r="C88" s="107"/>
      <c r="D88" s="108"/>
      <c r="E88" s="108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</sheetData>
  <autoFilter ref="$A$1:$Y$87"/>
  <mergeCells count="20">
    <mergeCell ref="M2:N2"/>
    <mergeCell ref="P2:Q2"/>
    <mergeCell ref="R2:S2"/>
    <mergeCell ref="T2:U2"/>
    <mergeCell ref="V2:W2"/>
    <mergeCell ref="X2:Y2"/>
    <mergeCell ref="A3:A27"/>
    <mergeCell ref="A28:C28"/>
    <mergeCell ref="A29:A67"/>
    <mergeCell ref="A68:C68"/>
    <mergeCell ref="A69:A85"/>
    <mergeCell ref="A86:C86"/>
    <mergeCell ref="A1:C1"/>
    <mergeCell ref="D1:N1"/>
    <mergeCell ref="O1:Y1"/>
    <mergeCell ref="Z1:Z87"/>
    <mergeCell ref="G2:H2"/>
    <mergeCell ref="I2:J2"/>
    <mergeCell ref="K2:L2"/>
    <mergeCell ref="A87:C87"/>
  </mergeCells>
  <conditionalFormatting sqref="D3:E27 F3:F11 G3:I25 J3:J26 K3:M13 N3:N5 O3:P24 Q3:W5 X3:X20 Y3:Y5 N7:N13 Q7:Q13 R7:R16 S7:S13 T7:T16 U7:U15 V7:V16 W7:W15 Y7:Y20 F13:F21 L15 Q17 S18:S24 U18:U24 W18:W24 K22:M24 R22:R24 T22:T24 V22:V24 X22:Y24 Q23 X26:Y27 D29:M67 N29:N42 O29:P67 Q29:Q42 R29:R67 S29:S42 T29:T67 U29:U42 V29:V67 W29:W42 X29:X67 Y29:Y42 N45:N67 Q45:Q67 S45:S67 U45:U67 W45:W67 Y45:Y67 D69:Y85">
    <cfRule type="cellIs" dxfId="0" priority="1" operator="notEqual">
      <formula>0</formula>
    </cfRule>
  </conditionalFormatting>
  <conditionalFormatting sqref="D3:E3 F3:F27 G3:G25 H3:L3 M3:M9 N3:Y3 H5:L5 N5:W5 X5:X10 Y5 D6:E6 H7:K9 L7:L11 N7:N10 O7:Q9 R7:W10 Y7:Y10 D12:E12 L13 N13 R13:S13 T13:W15 X13:X20 D14:E21 Y14:Y15 W18:W24 U21:U22 S22:S24 D29:E29 F29:F67 G29:G64 H29:I66 J29:J64 K29:Q29 R29:R30 S29:V29 W29:W42 X29:X67 Y29:Y42 K32:Q42 R32:R67 S32:V42 D43:E44 K45:Q64 S45:W67 Y45:Y67 D69:E70 F69:F85 G69:G70 H69:J83 K69:O70 P69:P84 Q69:Q70 R69:R85 S69:S70 T69:T85 U69:U70 V69:V85 W69:W70 X69:X85 Y69:Y70 D72:E73 G72 K72:K83 L72 M72:M85 N72:O72 Q72 S72 U72 W72 Y72 G74:G83 L74:L84 N74:O85 Q74:Q84 S74:S85 U74:U85 W74:W85 Y74:Y85 D75:E75">
    <cfRule type="cellIs" dxfId="0" priority="2" operator="notEqual">
      <formula>0</formula>
    </cfRule>
  </conditionalFormatting>
  <conditionalFormatting sqref="D3:E3 G3:Y27 D6:E6 D12:E12 D14:E21 D29:E29 G29:Y67 D43:E44 D69:E70 G69:Y85 D72:E73 D75:E75">
    <cfRule type="cellIs" dxfId="0" priority="3" operator="notEqual">
      <formula>0</formula>
    </cfRule>
  </conditionalFormatting>
  <conditionalFormatting sqref="K5:K6 G6:J6 L6:Y6 K9 P10:Q12 M12:O12 G14:J22 K14:K21 L14:M23 N14:N20 O14:Q22 R14:W16 W18:W20 Y18:Y22 G29:Y67 H69:J79 L72:L73 O72:O85 T72:T73 G73 K73 M73:M85 N73 P73:P75 Q73 R73:R85 S73 U73:Y73 G75 K75 L75:L76 N75 Q75 S75:Y75 P77:Q77 H81:J83 P84:Q85">
    <cfRule type="cellIs" dxfId="0" priority="4" operator="notEqual">
      <formula>0</formula>
    </cfRule>
  </conditionalFormatting>
  <conditionalFormatting sqref="D29:E29 F29:F67 G29 H29:H67 I29:J45 K29:Y29 L32:L40 I49:J67 D65:E67 G65:G67 K65:Y67 H69:J79 L72 R72:R85 S72:W72 X72:Y85 D74:G74 K74:K75 L74:L76 M74 N74:N85 O74:Q74 S74:S75 T74:T85 U74:U75 V74:W85 O76:O85 S77:S85 U77:U85 L78:L84 P78:Q82 P84:Q84">
    <cfRule type="cellIs" dxfId="0" priority="5" operator="notEqual">
      <formula>0</formula>
    </cfRule>
  </conditionalFormatting>
  <conditionalFormatting sqref="K5:K6 G6:J6 L6:Y6 K9 P10:Q12 M12:O12 G14:J22 K14:K21 L14:M23 N14:N20 O14:Q22 R14:W16 W18:W20 Y18:Y22 D29:E67 F29 G30:G64 H30:I66 J30:O64 P30:Q67 R30:S64 T30:U66 V30:W64 X30:Y67 D69:Y85">
    <cfRule type="cellIs" dxfId="0" priority="6" operator="notEqual">
      <formula>0</formula>
    </cfRule>
  </conditionalFormatting>
  <conditionalFormatting sqref="D69:E85 F71:F85">
    <cfRule type="cellIs" dxfId="0" priority="7" operator="notEqual">
      <formula>0</formula>
    </cfRule>
  </conditionalFormatting>
  <conditionalFormatting sqref="F69:F85">
    <cfRule type="cellIs" dxfId="0" priority="8" operator="notEqual">
      <formula>0</formula>
    </cfRule>
  </conditionalFormatting>
  <conditionalFormatting sqref="G69:Y85">
    <cfRule type="cellIs" dxfId="0" priority="9" operator="notEqual">
      <formula>0</formula>
    </cfRule>
  </conditionalFormatting>
  <dataValidations>
    <dataValidation type="list" allowBlank="1" showErrorMessage="1" sqref="I3:I27 I29:I67 I69:I85">
      <formula1>"Director Ejecutivo,Kabat Kehila,Contacto,No aplica"</formula1>
    </dataValidation>
    <dataValidation type="list" allowBlank="1" showErrorMessage="1" sqref="F3:F27 F29:F67 F69:F85">
      <formula1>"Pequeña,Mediana,Grande"</formula1>
    </dataValidation>
    <dataValidation type="list" allowBlank="1" showErrorMessage="1" sqref="K3:K27 M3:M27 O3:P27 R3:R27 T3:T27 V3:V27 X3:X27 K29:K67 M29:M67 O29:P67 R29:R67 T29:T67 V29:V67 X29:X67 K69:K85 M69:M85 O69:P85 R69:R85 T69:T85 V69:V85 X69:X85">
      <formula1>"SI,NO"</formula1>
    </dataValidation>
    <dataValidation type="list" allowBlank="1" showErrorMessage="1" sqref="G3:G27 G29:G67 G69:G85">
      <formula1>"Presidente,Director Comunitario,Representante"</formula1>
    </dataValidation>
  </dataValidations>
  <drawing r:id="rId2"/>
  <legacyDrawing r:id="rId3"/>
</worksheet>
</file>